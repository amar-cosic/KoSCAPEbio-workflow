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647AGEZ/AG_ZechnerE/09_PUBLICATIONS/PAPERS_MANUSCRIPTS/2024/KoSCAPE/GutMicrobes/1_Gut_Microbes_Revision/"/>
    </mc:Choice>
  </mc:AlternateContent>
  <xr:revisionPtr revIDLastSave="0" documentId="13_ncr:1_{19316551-2D56-0049-8809-284ACFF6A02C}" xr6:coauthVersionLast="47" xr6:coauthVersionMax="47" xr10:uidLastSave="{00000000-0000-0000-0000-000000000000}"/>
  <bookViews>
    <workbookView xWindow="0" yWindow="500" windowWidth="31880" windowHeight="24800" xr2:uid="{00000000-000D-0000-FFFF-FFFF00000000}"/>
  </bookViews>
  <sheets>
    <sheet name="Table S9" sheetId="6" r:id="rId1"/>
    <sheet name="Table S10" sheetId="2" r:id="rId2"/>
    <sheet name="Table S11" sheetId="1" r:id="rId3"/>
    <sheet name="Table S12" sheetId="10" r:id="rId4"/>
    <sheet name="Table S13" sheetId="11" r:id="rId5"/>
    <sheet name="Table S14" sheetId="12" r:id="rId6"/>
  </sheets>
  <definedNames>
    <definedName name="_xlnm._FilterDatabase" localSheetId="1" hidden="1">'Table S10'!#REF!</definedName>
    <definedName name="_xlnm._FilterDatabase" localSheetId="3" hidden="1">'Table S12'!#REF!</definedName>
    <definedName name="_xlnm._FilterDatabase" localSheetId="5" hidden="1">'Table S14'!$B$9:$E$9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0" i="2" l="1"/>
  <c r="I6" i="2" s="1"/>
  <c r="I5" i="1"/>
  <c r="Q10" i="1" s="1"/>
  <c r="I6" i="1"/>
  <c r="I7" i="1"/>
  <c r="I8" i="1"/>
  <c r="L11" i="1"/>
  <c r="T7" i="1" s="1"/>
  <c r="L12" i="1"/>
  <c r="T6" i="1" s="1"/>
  <c r="M12" i="1"/>
  <c r="U6" i="1" s="1"/>
  <c r="M9" i="1"/>
  <c r="U9" i="1" s="1"/>
  <c r="K9" i="1"/>
  <c r="S9" i="1" s="1"/>
  <c r="J11" i="1"/>
  <c r="R7" i="1" s="1"/>
  <c r="I9" i="1"/>
  <c r="Q9" i="1" s="1"/>
  <c r="C30" i="2"/>
  <c r="J9" i="2" s="1"/>
  <c r="D30" i="2"/>
  <c r="K12" i="2" s="1"/>
  <c r="E30" i="2"/>
  <c r="L15" i="2" s="1"/>
  <c r="F30" i="2"/>
  <c r="M18" i="2" s="1"/>
  <c r="M6" i="1"/>
  <c r="L7" i="1"/>
  <c r="M7" i="1"/>
  <c r="K8" i="1"/>
  <c r="S8" i="1" s="1"/>
  <c r="L8" i="1"/>
  <c r="T8" i="1" s="1"/>
  <c r="M8" i="1"/>
  <c r="J9" i="1"/>
  <c r="R9" i="1" s="1"/>
  <c r="L9" i="1"/>
  <c r="T9" i="1" s="1"/>
  <c r="I10" i="1"/>
  <c r="J10" i="1"/>
  <c r="M10" i="1"/>
  <c r="I11" i="1"/>
  <c r="Q7" i="1" s="1"/>
  <c r="K11" i="1"/>
  <c r="S7" i="1" s="1"/>
  <c r="M11" i="1"/>
  <c r="U7" i="1" s="1"/>
  <c r="I12" i="1"/>
  <c r="K12" i="1"/>
  <c r="M5" i="1"/>
  <c r="U10" i="1" s="1"/>
  <c r="K5" i="1"/>
  <c r="S10" i="1" s="1"/>
  <c r="L5" i="1"/>
  <c r="T10" i="1" s="1"/>
  <c r="M14" i="1" l="1"/>
  <c r="U5" i="1"/>
  <c r="Q6" i="1"/>
  <c r="J27" i="2"/>
  <c r="L14" i="2"/>
  <c r="M21" i="2"/>
  <c r="J21" i="2"/>
  <c r="M20" i="2"/>
  <c r="I14" i="1"/>
  <c r="K14" i="2"/>
  <c r="U8" i="1"/>
  <c r="J14" i="2"/>
  <c r="Q5" i="1"/>
  <c r="N11" i="1"/>
  <c r="N9" i="1"/>
  <c r="Q8" i="1"/>
  <c r="J15" i="2"/>
  <c r="K8" i="2"/>
  <c r="L21" i="2"/>
  <c r="L8" i="2"/>
  <c r="J8" i="2"/>
  <c r="J28" i="2"/>
  <c r="L7" i="2"/>
  <c r="L27" i="2"/>
  <c r="K27" i="2"/>
  <c r="K21" i="2"/>
  <c r="J12" i="2"/>
  <c r="I21" i="2"/>
  <c r="I12" i="2"/>
  <c r="M26" i="2"/>
  <c r="L26" i="2"/>
  <c r="L18" i="2"/>
  <c r="M24" i="2"/>
  <c r="L24" i="2"/>
  <c r="J18" i="2"/>
  <c r="L11" i="2"/>
  <c r="K20" i="2"/>
  <c r="J20" i="2"/>
  <c r="M11" i="2"/>
  <c r="K24" i="2"/>
  <c r="I18" i="2"/>
  <c r="K11" i="2"/>
  <c r="I14" i="2"/>
  <c r="J24" i="2"/>
  <c r="M17" i="2"/>
  <c r="J11" i="2"/>
  <c r="I24" i="2"/>
  <c r="L17" i="2"/>
  <c r="M10" i="2"/>
  <c r="I25" i="2"/>
  <c r="K18" i="2"/>
  <c r="L23" i="2"/>
  <c r="J17" i="2"/>
  <c r="I9" i="2"/>
  <c r="I5" i="2"/>
  <c r="K23" i="2"/>
  <c r="K15" i="2"/>
  <c r="M8" i="2"/>
  <c r="I28" i="2"/>
  <c r="I15" i="2"/>
  <c r="M27" i="2"/>
  <c r="M14" i="2"/>
  <c r="L10" i="1"/>
  <c r="N10" i="1" s="1"/>
  <c r="K7" i="1"/>
  <c r="S6" i="1" s="1"/>
  <c r="K10" i="1"/>
  <c r="J7" i="1"/>
  <c r="J5" i="1"/>
  <c r="N5" i="1" s="1"/>
  <c r="L6" i="1"/>
  <c r="K6" i="1"/>
  <c r="S5" i="1" s="1"/>
  <c r="J6" i="1"/>
  <c r="R5" i="1" s="1"/>
  <c r="J12" i="1"/>
  <c r="R6" i="1" s="1"/>
  <c r="J8" i="1"/>
  <c r="R8" i="1" s="1"/>
  <c r="I8" i="2"/>
  <c r="I27" i="2"/>
  <c r="M23" i="2"/>
  <c r="L20" i="2"/>
  <c r="K17" i="2"/>
  <c r="I11" i="2"/>
  <c r="N11" i="2" s="1"/>
  <c r="M7" i="2"/>
  <c r="I17" i="2"/>
  <c r="N17" i="2" s="1"/>
  <c r="M13" i="2"/>
  <c r="L10" i="2"/>
  <c r="K7" i="2"/>
  <c r="M5" i="2"/>
  <c r="K26" i="2"/>
  <c r="J23" i="2"/>
  <c r="I20" i="2"/>
  <c r="M16" i="2"/>
  <c r="L13" i="2"/>
  <c r="K10" i="2"/>
  <c r="J7" i="2"/>
  <c r="L5" i="2"/>
  <c r="J26" i="2"/>
  <c r="I23" i="2"/>
  <c r="M19" i="2"/>
  <c r="L16" i="2"/>
  <c r="K13" i="2"/>
  <c r="J10" i="2"/>
  <c r="I7" i="2"/>
  <c r="K5" i="2"/>
  <c r="I26" i="2"/>
  <c r="M22" i="2"/>
  <c r="L19" i="2"/>
  <c r="K16" i="2"/>
  <c r="J13" i="2"/>
  <c r="I10" i="2"/>
  <c r="M6" i="2"/>
  <c r="J5" i="2"/>
  <c r="M25" i="2"/>
  <c r="L22" i="2"/>
  <c r="K19" i="2"/>
  <c r="J16" i="2"/>
  <c r="I13" i="2"/>
  <c r="M9" i="2"/>
  <c r="L6" i="2"/>
  <c r="M28" i="2"/>
  <c r="L25" i="2"/>
  <c r="K22" i="2"/>
  <c r="J19" i="2"/>
  <c r="I16" i="2"/>
  <c r="M12" i="2"/>
  <c r="L9" i="2"/>
  <c r="K6" i="2"/>
  <c r="L28" i="2"/>
  <c r="K25" i="2"/>
  <c r="J22" i="2"/>
  <c r="I19" i="2"/>
  <c r="N19" i="2" s="1"/>
  <c r="M15" i="2"/>
  <c r="L12" i="2"/>
  <c r="K9" i="2"/>
  <c r="J6" i="2"/>
  <c r="K28" i="2"/>
  <c r="J25" i="2"/>
  <c r="I22" i="2"/>
  <c r="N7" i="1" l="1"/>
  <c r="N21" i="2"/>
  <c r="N12" i="1"/>
  <c r="N12" i="2"/>
  <c r="N6" i="2"/>
  <c r="N10" i="2"/>
  <c r="N27" i="2"/>
  <c r="L14" i="1"/>
  <c r="T5" i="1"/>
  <c r="N8" i="1"/>
  <c r="N6" i="1"/>
  <c r="J14" i="1"/>
  <c r="R10" i="1"/>
  <c r="N24" i="2"/>
  <c r="K14" i="1"/>
  <c r="N20" i="2"/>
  <c r="N22" i="2"/>
  <c r="N7" i="2"/>
  <c r="N23" i="2"/>
  <c r="N15" i="2"/>
  <c r="N28" i="2"/>
  <c r="N18" i="2"/>
  <c r="N9" i="2"/>
  <c r="N14" i="2"/>
  <c r="N8" i="2"/>
  <c r="N16" i="2"/>
  <c r="N5" i="2"/>
  <c r="N26" i="2"/>
  <c r="N25" i="2"/>
  <c r="N13" i="2"/>
  <c r="M30" i="2"/>
  <c r="L30" i="2"/>
  <c r="K30" i="2"/>
  <c r="J30" i="2"/>
  <c r="I30" i="2"/>
</calcChain>
</file>

<file path=xl/sharedStrings.xml><?xml version="1.0" encoding="utf-8"?>
<sst xmlns="http://schemas.openxmlformats.org/spreadsheetml/2006/main" count="1181" uniqueCount="307">
  <si>
    <t>#OTU ID</t>
  </si>
  <si>
    <t>sample-1</t>
  </si>
  <si>
    <t>sample-2</t>
  </si>
  <si>
    <t>sample-3</t>
  </si>
  <si>
    <t>sample-4</t>
  </si>
  <si>
    <t>sample-5</t>
  </si>
  <si>
    <t>Klebsiella_grimontii_version_2</t>
  </si>
  <si>
    <t>Shared_M_EC_SE(D40)</t>
  </si>
  <si>
    <t>Klebsiella_oxytoca_version_8</t>
  </si>
  <si>
    <t>Klebsiella_grimontii_version_3</t>
  </si>
  <si>
    <t>Klebsiella_huaxiensis_version_2</t>
  </si>
  <si>
    <t>Klebsiella_oxytoca_version_10</t>
  </si>
  <si>
    <t>Shared_G_P_S(P038I)</t>
  </si>
  <si>
    <t>Klebsiella_michiganensis_version_6</t>
  </si>
  <si>
    <t>Total</t>
  </si>
  <si>
    <t>index</t>
  </si>
  <si>
    <t>d__Bacteria;p__Firmicutes;c__Clostridia;o__Clostridiales;f__Clostridiaceae;g__Clostridium_sensu_stricto_1;s__Clostridium_beijerinckii</t>
  </si>
  <si>
    <t>d__Bacteria;p__Firmicutes;c__Bacilli;o__Bacillales;f__Bacillaceae;g__Bacillus;__</t>
  </si>
  <si>
    <t>d__Bacteria;p__Firmicutes;c__Bacilli;o__Staphylococcales;f__Staphylococcaceae;g__Staphylococcus;__</t>
  </si>
  <si>
    <t>d__Bacteria;p__Firmicutes;c__Bacilli;o__Lactobacillales;f__Listeriaceae;g__Listeria;__</t>
  </si>
  <si>
    <t>d__Bacteria;p__Bacteroidota;c__Bacteroidia;o__Bacteroidales;f__Bacteroidaceae;g__Bacteroides;s__Bacteroides_vulgatus</t>
  </si>
  <si>
    <t>d__Bacteria;p__Proteobacteria;c__Gammaproteobacteria;o__Pseudomonadales;f__Pseudomonadaceae;g__Pseudomonas;__</t>
  </si>
  <si>
    <t>d__Bacteria;p__Actinobacteriota;c__Actinobacteria;o__Propionibacteriales;f__Propionibacteriaceae;g__Cutibacterium;__</t>
  </si>
  <si>
    <t>d__Bacteria;p__Firmicutes;c__Bacilli;o__Lactobacillales;f__Enterococcaceae;g__Enterococcus;__</t>
  </si>
  <si>
    <t>d__Bacteria;p__Deinococcota;c__Deinococci;o__Deinococcales;f__Deinococcaceae;g__Deinococcus;s__Deinococcus_radiodurans</t>
  </si>
  <si>
    <t>d__Bacteria;p__Firmicutes;c__Bacilli;o__Lactobacillales;f__Streptococcaceae;g__Streptococcus;s__Streptococcus_mutans</t>
  </si>
  <si>
    <t>d__Bacteria;p__Proteobacteria;c__Alphaproteobacteria;o__Rhodobacterales;f__Rhodobacteraceae;g__Rhodobacter;__</t>
  </si>
  <si>
    <t>d__Archaea;p__Euryarchaeota;c__Methanobacteria;o__Methanobacteriales;f__Methanobacteriaceae;g__Methanobrevibacter;s__Methanobrevibacter_smithii</t>
  </si>
  <si>
    <t>d__Bacteria;p__Firmicutes;c__Bacilli;o__Lactobacillales;f__Streptococcaceae;g__Streptococcus;__</t>
  </si>
  <si>
    <t>d__Bacteria;p__Proteobacteria;c__Gammaproteobacteria;o__Enterobacterales;f__Enterobacteriaceae;__;__</t>
  </si>
  <si>
    <t>d__Bacteria;p__Proteobacteria;c__Gammaproteobacteria;o__Enterobacterales;f__Enterobacteriaceae;g__Klebsiella;__</t>
  </si>
  <si>
    <t>d__Bacteria;p__Firmicutes;c__Bacilli;o__Lactobacillales;f__Lactobacillaceae;g__Lactobacillus;__</t>
  </si>
  <si>
    <t>d__Bacteria;p__Firmicutes;c__Bacilli;o__Lactobacillales;f__Streptococcaceae;g__Streptococcus;s__Streptococcus_agalactiae</t>
  </si>
  <si>
    <t>d__Bacteria;p__Actinobacteriota;c__Actinobacteria;o__Actinomycetales;f__Actinomycetaceae;g__Actinomyces;s__Schaalia_odontolytica</t>
  </si>
  <si>
    <t>d__Bacteria;p__Campilobacterota;c__Campylobacteria;o__Campylobacterales;f__Helicobacteraceae;g__Helicobacter;s__Helicobacter_pylori</t>
  </si>
  <si>
    <t>d__Bacteria;p__Proteobacteria;c__Gammaproteobacteria;o__Enterobacterales;f__Enterobacteriaceae;g__Enterobacter;__</t>
  </si>
  <si>
    <t>d__Bacteria;p__Proteobacteria;c__Gammaproteobacteria;o__Burkholderiales;f__Neisseriaceae;g__Neisseria;s__Neisseria_meningitidis</t>
  </si>
  <si>
    <t>d__Bacteria;p__Firmicutes;c__Bacilli;o__Lactobacillales;f__Streptococcaceae;g__Streptococcus;s__Streptococcus_pneumoniae</t>
  </si>
  <si>
    <t>d__Bacteria;p__Proteobacteria;c__Gammaproteobacteria;o__Enterobacterales;f__Enterobacteriaceae;g__Escherichia-Shigella;__</t>
  </si>
  <si>
    <t>d__Bacteria;p__Proteobacteria;c__Gammaproteobacteria;o__Pseudomonadales;f__Moraxellaceae;g__Acinetobacter;s__Acinetobacter_baumannii</t>
  </si>
  <si>
    <t>Klebsiella_grimontii</t>
  </si>
  <si>
    <t>Klebsiella_oxytoca</t>
  </si>
  <si>
    <t>Klebsiella_michiganensis</t>
  </si>
  <si>
    <t>Klebsiella_huaxiensis</t>
  </si>
  <si>
    <t>Acinetobacter_baumannii_ATCC_17978</t>
  </si>
  <si>
    <t>Bacillus_cereus_ATCC_10987</t>
  </si>
  <si>
    <t>Bacteroides_vulgatus_ATCC_8482</t>
  </si>
  <si>
    <t>Clostridium_beijerinckii_ATCC_51743</t>
  </si>
  <si>
    <t>Deinococcus_radiodurans_DSM_20539_</t>
  </si>
  <si>
    <t>Enterococcus_faecalis_ATCC_47077</t>
  </si>
  <si>
    <t>Escherichia_coli_ATCC_700926</t>
  </si>
  <si>
    <t>Helicobacter_pylori_ATCC_700392</t>
  </si>
  <si>
    <t>Lactobacillus_gasseri_DSM_20243</t>
  </si>
  <si>
    <t>Neisseria_meningitidis_ATCC_BAA-335</t>
  </si>
  <si>
    <t>Propionibacterium_acnes_DSM16379</t>
  </si>
  <si>
    <t>Pseudomonas_aeruginosa_ATCC_47085</t>
  </si>
  <si>
    <t>Rhodobacter_sphaeroides_ATCC_17023</t>
  </si>
  <si>
    <t>Staphylococcus_aureus_ATCC_BAA-1718</t>
  </si>
  <si>
    <t>Staphylococcus_epidermidis_ATCC_12228</t>
  </si>
  <si>
    <t>Streptococcus_agalactiae_ATCC_BAA-611</t>
  </si>
  <si>
    <t>Streptococcus_mutans_ATCC_700610</t>
  </si>
  <si>
    <t>Streptococcus_pneumoniae_ATCC_BAA-334</t>
  </si>
  <si>
    <t>Actinomyces_odontolyticus_ATCC_17982</t>
  </si>
  <si>
    <t>Listeria_monocytogenes_ATCC_BAA-679</t>
  </si>
  <si>
    <t>Methanobrevibacter_smithii_ATCC_35061</t>
  </si>
  <si>
    <t>This Study</t>
  </si>
  <si>
    <t>Raw reads for 16S rRNA gene version (V3-V4)</t>
  </si>
  <si>
    <t>Rel. Abundance  for 16S rRNA gene version (V3-V4)</t>
  </si>
  <si>
    <t>Rel. Abundance (species level)</t>
  </si>
  <si>
    <t>x</t>
  </si>
  <si>
    <t>Klebsiella_oxytoca_strain_2880STDY5682554</t>
  </si>
  <si>
    <t>Klebsiella_oxytoca_strain_NCTC11691</t>
  </si>
  <si>
    <t>Klebsiella_grimontii_strain_P079F</t>
  </si>
  <si>
    <t>Klebsiella_grimontii_strain_2017E043892A</t>
  </si>
  <si>
    <t>Klebsiella_michiganensis_strain_P095L</t>
  </si>
  <si>
    <t>Klebsiella_huaxiensis_strain_20-M0000649-0</t>
  </si>
  <si>
    <t>Klebsiella_grimontii_strain_4928STDY7387690(shared)</t>
  </si>
  <si>
    <t>Klebsiella_pneumoniae_strain_FDAARGOS_775</t>
  </si>
  <si>
    <t>Klebsiella_pneumoniae_subsp._pneumoniae_HS11286</t>
  </si>
  <si>
    <t>Enterobacter_cloacae_isolate_1382</t>
  </si>
  <si>
    <t>Salmonella_enterica_subsp._arizonae_serovar_str._01-0089</t>
  </si>
  <si>
    <t>NotKoSCAPE</t>
  </si>
  <si>
    <t>Average</t>
  </si>
  <si>
    <t>d__Bacteria;p__Firmicutes;c__Bacilli;o__Bacillales;f__Bacillaceae;g__Bacillus</t>
  </si>
  <si>
    <t>d__Bacteria;p__Firmicutes;c__Bacilli;o__Lactobacillales;f__Enterococcaceae;g__Enterococcus</t>
  </si>
  <si>
    <t>d__Bacteria;p__Proteobacteria;c__Gammaproteobacteria;o__Enterobacterales;f__Enterobacteriaceae;g__Escherichia-Shigella</t>
  </si>
  <si>
    <t>d__Bacteria;p__Firmicutes;c__Bacilli;o__Lactobacillales;f__Lactobacillaceae;g__Lactobacillus</t>
  </si>
  <si>
    <t>d__Bacteria;p__Actinobacteriota;c__Actinobacteria;o__Propionibacteriales;f__Propionibacteriaceae;g__Cutibacterium</t>
  </si>
  <si>
    <t>d__Bacteria;p__Proteobacteria;c__Gammaproteobacteria;o__Pseudomonadales;f__Pseudomonadaceae;g__Pseudomonas</t>
  </si>
  <si>
    <t>d__Bacteria;p__Proteobacteria;c__Alphaproteobacteria;o__Rhodobacterales;f__Rhodobacteraceae;g__Rhodobacter</t>
  </si>
  <si>
    <t>d__Bacteria;p__Firmicutes;c__Bacilli;o__Staphylococcales;f__Staphylococcaceae;g__Staphylococcus</t>
  </si>
  <si>
    <t>d__Bacteria;p__Firmicutes;c__Bacilli;o__Lactobacillales;f__Streptococcaceae;g__Streptococcus</t>
  </si>
  <si>
    <t>d__Bacteria;p__Firmicutes;c__Bacilli;o__Lactobacillales;f__Listeriaceae;g__Listeria</t>
  </si>
  <si>
    <t>d__Bacteria;p__Proteobacteria;c__Gammaproteobacteria;o__Enterobacterales;f__Enterobacteriaceae</t>
  </si>
  <si>
    <t>d__Bacteria;p__Proteobacteria;c__Gammaproteobacteria;o__Enterobacterales;f__Enterobacteriaceae;g__Enterobacter</t>
  </si>
  <si>
    <t>d__Bacteria;p__Proteobacteria;c__Gammaproteobacteria;o__Enterobacterales;f__Enterobacteriaceae;g__Klebsiella</t>
  </si>
  <si>
    <t>Relative Abundance</t>
  </si>
  <si>
    <t>expected</t>
  </si>
  <si>
    <t>obtained by QIIME2</t>
  </si>
  <si>
    <t>KoSCAPE</t>
  </si>
  <si>
    <t>added # gene copies</t>
  </si>
  <si>
    <t>Mock-5</t>
  </si>
  <si>
    <t>species/strain</t>
  </si>
  <si>
    <t>source of sequence</t>
  </si>
  <si>
    <t>Klebsiella_grimontii_strain_4928STDY7387690 (shared)</t>
  </si>
  <si>
    <t>Salmonella_enterica_subsp._arizonae_serovar_01-0089</t>
  </si>
  <si>
    <t>Deinococcus_radiodurans_DSM_20539</t>
  </si>
  <si>
    <t>average abunance [%]</t>
  </si>
  <si>
    <t>species</t>
  </si>
  <si>
    <t>taxonomy - QIIME2</t>
  </si>
  <si>
    <t>taxonomy -  KoSCAPE</t>
  </si>
  <si>
    <t>Table S9. Composition of mock community.</t>
  </si>
  <si>
    <t xml:space="preserve">Tables S12. Comparison of QIIME2 and KoSCAPE output. </t>
  </si>
  <si>
    <t xml:space="preserve">Table S10. QIIME2 output mock community. </t>
  </si>
  <si>
    <t>Table S11. KoSCAPE output mock community</t>
  </si>
  <si>
    <t>4_Ko_V4 (+)</t>
  </si>
  <si>
    <t>27_Km_V12 (++)</t>
  </si>
  <si>
    <t>25_Km_V10 (++)</t>
  </si>
  <si>
    <t>28_Km_V13 (-)</t>
  </si>
  <si>
    <t>19_Km_V4 (+)</t>
  </si>
  <si>
    <t>42_Shared_G/P/S (++)</t>
  </si>
  <si>
    <t>47_Shared_M/P (+)</t>
  </si>
  <si>
    <t>44_Shared_M/G/P_V2 (+)</t>
  </si>
  <si>
    <t>KoSC Status</t>
  </si>
  <si>
    <t>Patient Status</t>
  </si>
  <si>
    <t>Sample_name_filtered</t>
  </si>
  <si>
    <t>NEC</t>
  </si>
  <si>
    <t>NEC_DOL</t>
  </si>
  <si>
    <t>death</t>
  </si>
  <si>
    <t>Cesarean</t>
  </si>
  <si>
    <t>birthweight_grams</t>
  </si>
  <si>
    <t>high_abx</t>
  </si>
  <si>
    <t>k__Bacteria|p__Pseudomonadota|c__Gammaproteobacteria|o__Enterobacterales|f__Enterobacteriaceae|g__Klebsiella</t>
  </si>
  <si>
    <t>k__Bacteria|p__Pseudomonadota|c__Gammaproteobacteria|o__Enterobacterales|f__Enterobacteriaceae|g__Klebsiella|s__Klebsiella_SGB10123</t>
  </si>
  <si>
    <t>k__Bacteria|p__Pseudomonadota|c__Gammaproteobacteria|o__Enterobacterales|f__Enterobacteriaceae|g__Klebsiella|s__Klebsiella_aerogenes</t>
  </si>
  <si>
    <t>k__Bacteria|p__Pseudomonadota|c__Gammaproteobacteria|o__Enterobacterales|f__Enterobacteriaceae|g__Klebsiella|s__Klebsiella_grimontii</t>
  </si>
  <si>
    <t>k__Bacteria|p__Pseudomonadota|c__Gammaproteobacteria|o__Enterobacterales|f__Enterobacteriaceae|g__Klebsiella|s__Klebsiella_huaxiensis</t>
  </si>
  <si>
    <t>k__Bacteria|p__Pseudomonadota|c__Gammaproteobacteria|o__Enterobacterales|f__Enterobacteriaceae|g__Klebsiella|s__Klebsiella_indica</t>
  </si>
  <si>
    <t>k__Bacteria|p__Pseudomonadota|c__Gammaproteobacteria|o__Enterobacterales|f__Enterobacteriaceae|g__Klebsiella|s__Klebsiella_michiganensis</t>
  </si>
  <si>
    <t>k__Bacteria|p__Pseudomonadota|c__Gammaproteobacteria|o__Enterobacterales|f__Enterobacteriaceae|g__Klebsiella|s__Klebsiella_oxytoca</t>
  </si>
  <si>
    <t>k__Bacteria|p__Pseudomonadota|c__Gammaproteobacteria|o__Enterobacterales|f__Enterobacteriaceae|g__Klebsiella|s__Klebsiella_pneumoniae</t>
  </si>
  <si>
    <t>k__Bacteria|p__Pseudomonadota|c__Gammaproteobacteria|o__Enterobacterales|f__Enterobacteriaceae|g__Klebsiella|s__Klebsiella_quasipneumoniae</t>
  </si>
  <si>
    <t>k__Bacteria|p__Pseudomonadota|c__Gammaproteobacteria|o__Enterobacterales|f__Enterobacteriaceae|g__Klebsiella|s__Klebsiella_sp_RIT_PI_d</t>
  </si>
  <si>
    <t>k__Bacteria|p__Pseudomonadota|c__Gammaproteobacteria|o__Enterobacterales|f__Enterobacteriaceae|g__Klebsiella|s__Klebsiella_spallanzanii</t>
  </si>
  <si>
    <t>k__Bacteria|p__Pseudomonadota|c__Gammaproteobacteria|o__Enterobacterales|f__Enterobacteriaceae|g__Klebsiella|s__Klebsiella_variicola</t>
  </si>
  <si>
    <t>SRR327597,SRR327586</t>
  </si>
  <si>
    <t>KoSC-</t>
  </si>
  <si>
    <t>10551-ST-14</t>
  </si>
  <si>
    <t>NA</t>
  </si>
  <si>
    <t>SRX002290</t>
  </si>
  <si>
    <t>SRR329413,SRR329416,SRR332405</t>
  </si>
  <si>
    <t>KoSC+</t>
  </si>
  <si>
    <t>Typable</t>
  </si>
  <si>
    <t>10301-ST-11</t>
  </si>
  <si>
    <t>Km</t>
  </si>
  <si>
    <t>SRX002294</t>
  </si>
  <si>
    <t>SRR332398,SRR327579,SRR327555</t>
  </si>
  <si>
    <t>10891-ST-11</t>
  </si>
  <si>
    <t>SRX002306</t>
  </si>
  <si>
    <t>SRR328358</t>
  </si>
  <si>
    <t>10371-ST-11</t>
  </si>
  <si>
    <t>SRX012325</t>
  </si>
  <si>
    <t>SRR329422</t>
  </si>
  <si>
    <t>Untypable</t>
  </si>
  <si>
    <t>10301-ST-14</t>
  </si>
  <si>
    <t>SRX198311</t>
  </si>
  <si>
    <t>SRR332121,SRR326249,SRR326217</t>
  </si>
  <si>
    <t>10542-ST-14</t>
  </si>
  <si>
    <t>SRX198386</t>
  </si>
  <si>
    <t>SRR326256</t>
  </si>
  <si>
    <t>10741-ST-14</t>
  </si>
  <si>
    <t>SRX198391</t>
  </si>
  <si>
    <t>SRR329429</t>
  </si>
  <si>
    <t>10741-ST-11</t>
  </si>
  <si>
    <t>SRX313538</t>
  </si>
  <si>
    <t>SRR332112,SRR326968,SRR326966</t>
  </si>
  <si>
    <t>10541-ST-21</t>
  </si>
  <si>
    <t>SRX198677</t>
  </si>
  <si>
    <t>SRR327012</t>
  </si>
  <si>
    <t>10141-ST-21</t>
  </si>
  <si>
    <t>SRX198925</t>
  </si>
  <si>
    <t>SRR326219</t>
  </si>
  <si>
    <t>10701-ST-21</t>
  </si>
  <si>
    <t>SRX200057</t>
  </si>
  <si>
    <t>SRR332147,SRR326246,SRR326211</t>
  </si>
  <si>
    <t>10541-ST-14</t>
  </si>
  <si>
    <t>SRX200061</t>
  </si>
  <si>
    <t>SRR324116</t>
  </si>
  <si>
    <t>10141-ST-11</t>
  </si>
  <si>
    <t>SRX200075</t>
  </si>
  <si>
    <t>SRR326196</t>
  </si>
  <si>
    <t>10811-ST-11</t>
  </si>
  <si>
    <t>SRX200096</t>
  </si>
  <si>
    <t>SRR332124,SRR326238,SRR326236</t>
  </si>
  <si>
    <t>10521-ST-14</t>
  </si>
  <si>
    <t>SRX200102</t>
  </si>
  <si>
    <t>SRR327598</t>
  </si>
  <si>
    <t>10261-ST-11</t>
  </si>
  <si>
    <t>SRX313526</t>
  </si>
  <si>
    <t>SRR329414</t>
  </si>
  <si>
    <t>10271-ST-11</t>
  </si>
  <si>
    <t>SRX313542</t>
  </si>
  <si>
    <t>SRR327095</t>
  </si>
  <si>
    <t>10071-ST-11</t>
  </si>
  <si>
    <t>SRX313586</t>
  </si>
  <si>
    <t>SRR326971</t>
  </si>
  <si>
    <t>10291-ST-11</t>
  </si>
  <si>
    <t>Kg</t>
  </si>
  <si>
    <t xml:space="preserve"> </t>
  </si>
  <si>
    <t>SRX313596</t>
  </si>
  <si>
    <t>SRR332130,SRR326245,SRR326204</t>
  </si>
  <si>
    <t>10471-ST-11</t>
  </si>
  <si>
    <t>Ko</t>
  </si>
  <si>
    <t>SRX317266</t>
  </si>
  <si>
    <t>SRR332394,SRR327593,SRR327560</t>
  </si>
  <si>
    <t>10521-ST-11</t>
  </si>
  <si>
    <t>SRX317287</t>
  </si>
  <si>
    <t>SRR332384,SRR328348,SRR328341</t>
  </si>
  <si>
    <t>10701-ST-14</t>
  </si>
  <si>
    <t>SRX317301</t>
  </si>
  <si>
    <t>SRR327025</t>
  </si>
  <si>
    <t>10181-ST-11</t>
  </si>
  <si>
    <t>SRX317329</t>
  </si>
  <si>
    <t>SRR332392,SRR328388,SRR328365</t>
  </si>
  <si>
    <t>10501-ST-11</t>
  </si>
  <si>
    <t>SRX317338</t>
  </si>
  <si>
    <t>SRR327016</t>
  </si>
  <si>
    <t>10101-ST-11</t>
  </si>
  <si>
    <t>SRX317340</t>
  </si>
  <si>
    <t>SRR329423</t>
  </si>
  <si>
    <t>10691-ST-14</t>
  </si>
  <si>
    <t>SRX317356</t>
  </si>
  <si>
    <t>SRR329443</t>
  </si>
  <si>
    <t>10351-ST-11</t>
  </si>
  <si>
    <t>SRX317379</t>
  </si>
  <si>
    <t>SRR326992</t>
  </si>
  <si>
    <t>10161-ST-11</t>
  </si>
  <si>
    <t>SRX317380</t>
  </si>
  <si>
    <t>SRR332393,SRR328366,SRR328334</t>
  </si>
  <si>
    <t>10472-ST-11</t>
  </si>
  <si>
    <t>SRX317391</t>
  </si>
  <si>
    <t>SRR328369</t>
  </si>
  <si>
    <t>10231-ST-11</t>
  </si>
  <si>
    <t>SRX317395</t>
  </si>
  <si>
    <t>SRR324885</t>
  </si>
  <si>
    <t>10581-ST-11</t>
  </si>
  <si>
    <t>SRX317411</t>
  </si>
  <si>
    <t>SRR328347</t>
  </si>
  <si>
    <t>10151-ST-11</t>
  </si>
  <si>
    <t>SRX317467</t>
  </si>
  <si>
    <t>SRR328338</t>
  </si>
  <si>
    <t>10051-ST-11</t>
  </si>
  <si>
    <t>SRX317468</t>
  </si>
  <si>
    <t>SRR324110</t>
  </si>
  <si>
    <t>10361-ST-11</t>
  </si>
  <si>
    <t>SRX317471</t>
  </si>
  <si>
    <t>SRR332386,SRR327600,SRR327587</t>
  </si>
  <si>
    <t>10451-ST-11</t>
  </si>
  <si>
    <t>SRX317473</t>
  </si>
  <si>
    <t>SRR332401,SRR329436,SRR329426</t>
  </si>
  <si>
    <t>10541-ST-11</t>
  </si>
  <si>
    <t>SRX317476</t>
  </si>
  <si>
    <t>SRR332117,SRR326258,SRR326218</t>
  </si>
  <si>
    <t>10601-ST-11</t>
  </si>
  <si>
    <t>SRX317494</t>
  </si>
  <si>
    <t>SRR332119,SRR327007,SRR326964</t>
  </si>
  <si>
    <t>10542-ST-11</t>
  </si>
  <si>
    <t>SRX317498</t>
  </si>
  <si>
    <t>10311-ST-14</t>
  </si>
  <si>
    <t>SRX389483</t>
  </si>
  <si>
    <t>SRR324119</t>
  </si>
  <si>
    <t>10102-ST-11</t>
  </si>
  <si>
    <t>SRX389486</t>
  </si>
  <si>
    <t>Accesion_id(16S)</t>
  </si>
  <si>
    <t>Accesion_id(WGS)</t>
  </si>
  <si>
    <t>METADATA</t>
  </si>
  <si>
    <t>KoSCAPEbio results</t>
  </si>
  <si>
    <t>MetaPhlAn results</t>
  </si>
  <si>
    <t>KoSCAPEbio</t>
  </si>
  <si>
    <t>NoHit</t>
  </si>
  <si>
    <t>QIIME2</t>
  </si>
  <si>
    <t>MetaPhlAn (1%)</t>
  </si>
  <si>
    <t>blaOXY</t>
  </si>
  <si>
    <t>KoSC</t>
  </si>
  <si>
    <t>Jaccard</t>
  </si>
  <si>
    <t>SRR324898,SRR324872,SRR327007,SRR326964</t>
  </si>
  <si>
    <t xml:space="preserve"> g__Klebsiella; s__Klebsiella_oxytoca</t>
  </si>
  <si>
    <t xml:space="preserve"> g__Klebsiella;</t>
  </si>
  <si>
    <t>gene_1_blaoxy</t>
  </si>
  <si>
    <t>gene_2_blaoxy</t>
  </si>
  <si>
    <t>gene_3_blaoxy</t>
  </si>
  <si>
    <t>X</t>
  </si>
  <si>
    <t>Klebsiella_michiganensis_1</t>
  </si>
  <si>
    <t>Klebsiella_michiganensis_5</t>
  </si>
  <si>
    <r>
      <rPr>
        <sz val="11"/>
        <color theme="1"/>
        <rFont val="Aptos Narrow"/>
        <family val="2"/>
        <scheme val="minor"/>
      </rPr>
      <t>SRST2 (</t>
    </r>
    <r>
      <rPr>
        <i/>
        <sz val="11"/>
        <color theme="1"/>
        <rFont val="Aptos Narrow"/>
        <family val="2"/>
        <scheme val="minor"/>
      </rPr>
      <t>blaOXY)</t>
    </r>
  </si>
  <si>
    <t>48_Shared_M/EC/SE</t>
  </si>
  <si>
    <t>8_Ko_V8</t>
  </si>
  <si>
    <t>13_Kg_V3</t>
  </si>
  <si>
    <t>42_Shared_G/P/S</t>
  </si>
  <si>
    <t>10_Ko_V10</t>
  </si>
  <si>
    <t>21_Km_V6</t>
  </si>
  <si>
    <t>12_Kg_V2</t>
  </si>
  <si>
    <t>36_Kh_V2</t>
  </si>
  <si>
    <t>Jaccard (KoSC)</t>
  </si>
  <si>
    <t>Jaccard (Species)</t>
  </si>
  <si>
    <t>Table S14. Jaccard similarity indices between typing methods.</t>
  </si>
  <si>
    <t>Table S13. Combined results of different analysis methods for benchmarking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</si>
</sst>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sz val="12"/>
      <color rgb="FF000000"/>
      <name val="Arial"/>
      <family val="2"/>
    </font>
    <font>
      <sz val="8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u/>
      <sz val="11"/>
      <color theme="1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0" fontId="10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0" borderId="0" xfId="0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0" xfId="0" applyFont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110" zoomScaleNormal="110" workbookViewId="0">
      <pane ySplit="3" topLeftCell="A5" activePane="bottomLeft" state="frozen"/>
      <selection pane="bottomLeft" activeCell="C44" sqref="C44"/>
    </sheetView>
  </sheetViews>
  <sheetFormatPr baseColWidth="10" defaultColWidth="8.5" defaultRowHeight="15" x14ac:dyDescent="0.2"/>
  <cols>
    <col min="1" max="1" width="54.5" customWidth="1"/>
    <col min="2" max="2" width="18.1640625" customWidth="1"/>
    <col min="3" max="3" width="24.83203125" customWidth="1"/>
  </cols>
  <sheetData>
    <row r="1" spans="1:8" ht="16" x14ac:dyDescent="0.2">
      <c r="A1" s="6" t="s">
        <v>111</v>
      </c>
    </row>
    <row r="3" spans="1:8" s="4" customFormat="1" ht="16" x14ac:dyDescent="0.2">
      <c r="A3" s="6" t="s">
        <v>102</v>
      </c>
      <c r="B3" s="6" t="s">
        <v>100</v>
      </c>
      <c r="C3" s="6" t="s">
        <v>107</v>
      </c>
      <c r="D3" s="6" t="s">
        <v>103</v>
      </c>
    </row>
    <row r="4" spans="1:8" ht="16" x14ac:dyDescent="0.2">
      <c r="A4" s="5" t="s">
        <v>44</v>
      </c>
      <c r="B4" s="5">
        <v>1</v>
      </c>
      <c r="C4" s="7">
        <v>1.3888888888888888</v>
      </c>
      <c r="D4" s="5" t="s">
        <v>101</v>
      </c>
    </row>
    <row r="5" spans="1:8" ht="16" x14ac:dyDescent="0.2">
      <c r="A5" s="5" t="s">
        <v>45</v>
      </c>
      <c r="B5" s="5">
        <v>5</v>
      </c>
      <c r="C5" s="7">
        <v>6.9444444444444446</v>
      </c>
      <c r="D5" s="5" t="s">
        <v>101</v>
      </c>
    </row>
    <row r="6" spans="1:8" ht="16" x14ac:dyDescent="0.2">
      <c r="A6" s="5" t="s">
        <v>46</v>
      </c>
      <c r="B6" s="5">
        <v>6</v>
      </c>
      <c r="C6" s="7">
        <v>8.3333333333333321</v>
      </c>
      <c r="D6" s="5" t="s">
        <v>101</v>
      </c>
    </row>
    <row r="7" spans="1:8" ht="16" x14ac:dyDescent="0.2">
      <c r="A7" s="5" t="s">
        <v>47</v>
      </c>
      <c r="B7" s="5">
        <v>14</v>
      </c>
      <c r="C7" s="7">
        <v>19.444444444444446</v>
      </c>
      <c r="D7" s="5" t="s">
        <v>101</v>
      </c>
    </row>
    <row r="8" spans="1:8" ht="16" x14ac:dyDescent="0.2">
      <c r="A8" s="5" t="s">
        <v>48</v>
      </c>
      <c r="B8" s="5">
        <v>2</v>
      </c>
      <c r="C8" s="7">
        <v>2.7777777777777777</v>
      </c>
      <c r="D8" s="5" t="s">
        <v>101</v>
      </c>
    </row>
    <row r="9" spans="1:8" ht="16" x14ac:dyDescent="0.2">
      <c r="A9" s="5" t="s">
        <v>49</v>
      </c>
      <c r="B9" s="5">
        <v>2</v>
      </c>
      <c r="C9" s="7">
        <v>2.7777777777777777</v>
      </c>
      <c r="D9" s="5" t="s">
        <v>101</v>
      </c>
      <c r="H9" s="2"/>
    </row>
    <row r="10" spans="1:8" ht="16" x14ac:dyDescent="0.2">
      <c r="A10" s="5" t="s">
        <v>50</v>
      </c>
      <c r="B10" s="5">
        <v>1</v>
      </c>
      <c r="C10" s="7">
        <v>1.3888888888888888</v>
      </c>
      <c r="D10" s="5" t="s">
        <v>101</v>
      </c>
    </row>
    <row r="11" spans="1:8" ht="16" x14ac:dyDescent="0.2">
      <c r="A11" s="5" t="s">
        <v>51</v>
      </c>
      <c r="B11" s="5">
        <v>1</v>
      </c>
      <c r="C11" s="7">
        <v>1.3888888888888888</v>
      </c>
      <c r="D11" s="5" t="s">
        <v>101</v>
      </c>
    </row>
    <row r="12" spans="1:8" ht="16" x14ac:dyDescent="0.2">
      <c r="A12" s="5" t="s">
        <v>52</v>
      </c>
      <c r="B12" s="5">
        <v>1</v>
      </c>
      <c r="C12" s="7">
        <v>1.3888888888888888</v>
      </c>
      <c r="D12" s="5" t="s">
        <v>101</v>
      </c>
    </row>
    <row r="13" spans="1:8" ht="16" x14ac:dyDescent="0.2">
      <c r="A13" s="5" t="s">
        <v>53</v>
      </c>
      <c r="B13" s="5">
        <v>1</v>
      </c>
      <c r="C13" s="7">
        <v>1.3888888888888888</v>
      </c>
      <c r="D13" s="5" t="s">
        <v>101</v>
      </c>
    </row>
    <row r="14" spans="1:8" ht="16" x14ac:dyDescent="0.2">
      <c r="A14" s="5" t="s">
        <v>54</v>
      </c>
      <c r="B14" s="5">
        <v>2</v>
      </c>
      <c r="C14" s="7">
        <v>2.7777777777777777</v>
      </c>
      <c r="D14" s="5" t="s">
        <v>101</v>
      </c>
    </row>
    <row r="15" spans="1:8" ht="16" x14ac:dyDescent="0.2">
      <c r="A15" s="5" t="s">
        <v>55</v>
      </c>
      <c r="B15" s="5">
        <v>3</v>
      </c>
      <c r="C15" s="7">
        <v>4.1666666666666661</v>
      </c>
      <c r="D15" s="5" t="s">
        <v>101</v>
      </c>
    </row>
    <row r="16" spans="1:8" ht="16" x14ac:dyDescent="0.2">
      <c r="A16" s="5" t="s">
        <v>56</v>
      </c>
      <c r="B16" s="5">
        <v>2</v>
      </c>
      <c r="C16" s="7">
        <v>2.7777777777777777</v>
      </c>
      <c r="D16" s="5" t="s">
        <v>101</v>
      </c>
    </row>
    <row r="17" spans="1:4" ht="16" x14ac:dyDescent="0.2">
      <c r="A17" s="5" t="s">
        <v>57</v>
      </c>
      <c r="B17" s="5">
        <v>4</v>
      </c>
      <c r="C17" s="7">
        <v>5.5555555555555554</v>
      </c>
      <c r="D17" s="5" t="s">
        <v>101</v>
      </c>
    </row>
    <row r="18" spans="1:4" ht="16" x14ac:dyDescent="0.2">
      <c r="A18" s="5" t="s">
        <v>58</v>
      </c>
      <c r="B18" s="5">
        <v>5</v>
      </c>
      <c r="C18" s="7">
        <v>6.9444444444444446</v>
      </c>
      <c r="D18" s="5" t="s">
        <v>101</v>
      </c>
    </row>
    <row r="19" spans="1:4" ht="16" x14ac:dyDescent="0.2">
      <c r="A19" s="5" t="s">
        <v>59</v>
      </c>
      <c r="B19" s="5">
        <v>1</v>
      </c>
      <c r="C19" s="7">
        <v>1.3888888888888888</v>
      </c>
      <c r="D19" s="5" t="s">
        <v>101</v>
      </c>
    </row>
    <row r="20" spans="1:4" ht="16" x14ac:dyDescent="0.2">
      <c r="A20" s="5" t="s">
        <v>60</v>
      </c>
      <c r="B20" s="5">
        <v>2</v>
      </c>
      <c r="C20" s="7">
        <v>2.7777777777777777</v>
      </c>
      <c r="D20" s="5" t="s">
        <v>101</v>
      </c>
    </row>
    <row r="21" spans="1:4" ht="16" x14ac:dyDescent="0.2">
      <c r="A21" s="5" t="s">
        <v>61</v>
      </c>
      <c r="B21" s="5">
        <v>1</v>
      </c>
      <c r="C21" s="7">
        <v>1.3888888888888888</v>
      </c>
      <c r="D21" s="5" t="s">
        <v>101</v>
      </c>
    </row>
    <row r="22" spans="1:4" ht="16" x14ac:dyDescent="0.2">
      <c r="A22" s="5" t="s">
        <v>62</v>
      </c>
      <c r="B22" s="5">
        <v>1</v>
      </c>
      <c r="C22" s="7">
        <v>1.3888888888888888</v>
      </c>
      <c r="D22" s="5" t="s">
        <v>101</v>
      </c>
    </row>
    <row r="23" spans="1:4" ht="16" x14ac:dyDescent="0.2">
      <c r="A23" s="5" t="s">
        <v>63</v>
      </c>
      <c r="B23" s="5">
        <v>4</v>
      </c>
      <c r="C23" s="7">
        <v>5.5555555555555554</v>
      </c>
      <c r="D23" s="5" t="s">
        <v>101</v>
      </c>
    </row>
    <row r="24" spans="1:4" ht="16" x14ac:dyDescent="0.2">
      <c r="A24" s="5" t="s">
        <v>64</v>
      </c>
      <c r="B24" s="5">
        <v>2</v>
      </c>
      <c r="C24" s="7">
        <v>2.7777777777777777</v>
      </c>
      <c r="D24" s="5" t="s">
        <v>101</v>
      </c>
    </row>
    <row r="25" spans="1:4" ht="16" x14ac:dyDescent="0.2">
      <c r="A25" s="5" t="s">
        <v>70</v>
      </c>
      <c r="B25" s="5">
        <v>1</v>
      </c>
      <c r="C25" s="7">
        <v>1.3888888888888888</v>
      </c>
      <c r="D25" s="5" t="s">
        <v>65</v>
      </c>
    </row>
    <row r="26" spans="1:4" ht="16" x14ac:dyDescent="0.2">
      <c r="A26" s="5" t="s">
        <v>71</v>
      </c>
      <c r="B26" s="5">
        <v>1</v>
      </c>
      <c r="C26" s="7">
        <v>1.3888888888888888</v>
      </c>
      <c r="D26" s="5" t="s">
        <v>65</v>
      </c>
    </row>
    <row r="27" spans="1:4" ht="16" x14ac:dyDescent="0.2">
      <c r="A27" s="5" t="s">
        <v>72</v>
      </c>
      <c r="B27" s="5">
        <v>1</v>
      </c>
      <c r="C27" s="7">
        <v>1.3888888888888888</v>
      </c>
      <c r="D27" s="5" t="s">
        <v>65</v>
      </c>
    </row>
    <row r="28" spans="1:4" ht="16" x14ac:dyDescent="0.2">
      <c r="A28" s="5" t="s">
        <v>73</v>
      </c>
      <c r="B28" s="5">
        <v>1</v>
      </c>
      <c r="C28" s="7">
        <v>1.3888888888888888</v>
      </c>
      <c r="D28" s="5" t="s">
        <v>65</v>
      </c>
    </row>
    <row r="29" spans="1:4" ht="16" x14ac:dyDescent="0.2">
      <c r="A29" s="5" t="s">
        <v>74</v>
      </c>
      <c r="B29" s="5">
        <v>1</v>
      </c>
      <c r="C29" s="7">
        <v>1.3888888888888888</v>
      </c>
      <c r="D29" s="5" t="s">
        <v>65</v>
      </c>
    </row>
    <row r="30" spans="1:4" ht="16" x14ac:dyDescent="0.2">
      <c r="A30" s="5" t="s">
        <v>75</v>
      </c>
      <c r="B30" s="5">
        <v>1</v>
      </c>
      <c r="C30" s="7">
        <v>1.3888888888888888</v>
      </c>
      <c r="D30" s="5" t="s">
        <v>65</v>
      </c>
    </row>
    <row r="31" spans="1:4" ht="16" x14ac:dyDescent="0.2">
      <c r="A31" s="5" t="s">
        <v>104</v>
      </c>
      <c r="B31" s="5">
        <v>1</v>
      </c>
      <c r="C31" s="7">
        <v>1.3888888888888888</v>
      </c>
      <c r="D31" s="5" t="s">
        <v>65</v>
      </c>
    </row>
    <row r="32" spans="1:4" ht="16" x14ac:dyDescent="0.2">
      <c r="A32" s="5" t="s">
        <v>77</v>
      </c>
      <c r="B32" s="5">
        <v>1</v>
      </c>
      <c r="C32" s="7">
        <v>1.3888888888888888</v>
      </c>
      <c r="D32" s="5" t="s">
        <v>65</v>
      </c>
    </row>
    <row r="33" spans="1:4" ht="16" x14ac:dyDescent="0.2">
      <c r="A33" s="5" t="s">
        <v>78</v>
      </c>
      <c r="B33" s="5">
        <v>1</v>
      </c>
      <c r="C33" s="7">
        <v>1.3888888888888888</v>
      </c>
      <c r="D33" s="5" t="s">
        <v>65</v>
      </c>
    </row>
    <row r="34" spans="1:4" ht="16" x14ac:dyDescent="0.2">
      <c r="A34" s="5" t="s">
        <v>79</v>
      </c>
      <c r="B34" s="5">
        <v>1</v>
      </c>
      <c r="C34" s="7">
        <v>1.3888888888888888</v>
      </c>
      <c r="D34" s="5" t="s">
        <v>65</v>
      </c>
    </row>
    <row r="35" spans="1:4" ht="16" x14ac:dyDescent="0.2">
      <c r="A35" s="5" t="s">
        <v>105</v>
      </c>
      <c r="B35" s="5">
        <v>1</v>
      </c>
      <c r="C35" s="7">
        <v>1.3888888888888888</v>
      </c>
      <c r="D35" s="5" t="s">
        <v>65</v>
      </c>
    </row>
  </sheetData>
  <phoneticPr fontId="2" type="noConversion"/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5" defaultRowHeight="16" x14ac:dyDescent="0.2"/>
  <cols>
    <col min="1" max="1" width="115.5" style="5" customWidth="1"/>
    <col min="2" max="7" width="8.5" style="5"/>
    <col min="8" max="8" width="114.83203125" style="5" customWidth="1"/>
    <col min="9" max="15" width="8.5" style="5"/>
    <col min="16" max="16" width="42.5" style="5" customWidth="1"/>
    <col min="17" max="41" width="8.5" style="5"/>
    <col min="42" max="42" width="12.5" style="5" bestFit="1" customWidth="1"/>
    <col min="43" max="43" width="8.5" style="5"/>
    <col min="44" max="44" width="22.6640625" style="5" customWidth="1"/>
    <col min="45" max="16384" width="8.5" style="5"/>
  </cols>
  <sheetData>
    <row r="1" spans="1:14" x14ac:dyDescent="0.2">
      <c r="A1" s="6" t="s">
        <v>113</v>
      </c>
    </row>
    <row r="3" spans="1:14" x14ac:dyDescent="0.2">
      <c r="B3" s="23" t="s">
        <v>66</v>
      </c>
      <c r="C3" s="23"/>
      <c r="D3" s="23"/>
      <c r="E3" s="23"/>
      <c r="F3" s="23"/>
      <c r="I3" s="23" t="s">
        <v>67</v>
      </c>
      <c r="J3" s="23"/>
      <c r="K3" s="23"/>
      <c r="L3" s="23"/>
      <c r="M3" s="23"/>
      <c r="N3" s="6"/>
    </row>
    <row r="4" spans="1:14" s="6" customFormat="1" x14ac:dyDescent="0.2">
      <c r="A4" s="6" t="s">
        <v>15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H4" s="6" t="s">
        <v>15</v>
      </c>
      <c r="I4" s="6" t="s">
        <v>1</v>
      </c>
      <c r="J4" s="6" t="s">
        <v>2</v>
      </c>
      <c r="K4" s="6" t="s">
        <v>3</v>
      </c>
      <c r="L4" s="6" t="s">
        <v>4</v>
      </c>
      <c r="M4" s="6" t="s">
        <v>5</v>
      </c>
      <c r="N4" s="6" t="s">
        <v>82</v>
      </c>
    </row>
    <row r="5" spans="1:14" x14ac:dyDescent="0.2">
      <c r="A5" s="5" t="s">
        <v>16</v>
      </c>
      <c r="B5" s="5">
        <v>2318</v>
      </c>
      <c r="C5" s="5">
        <v>2322</v>
      </c>
      <c r="D5" s="5">
        <v>2322</v>
      </c>
      <c r="E5" s="5">
        <v>2286</v>
      </c>
      <c r="F5" s="5">
        <v>2321</v>
      </c>
      <c r="H5" s="5" t="s">
        <v>16</v>
      </c>
      <c r="I5" s="5">
        <f>(B5/B$30)*100</f>
        <v>19.307013160086623</v>
      </c>
      <c r="J5" s="5">
        <f t="shared" ref="J5:M5" si="0">(C5/C$30)*100</f>
        <v>19.494584837545126</v>
      </c>
      <c r="K5" s="5">
        <f t="shared" si="0"/>
        <v>19.226629129750766</v>
      </c>
      <c r="L5" s="5">
        <f t="shared" si="0"/>
        <v>19.04047976011994</v>
      </c>
      <c r="M5" s="5">
        <f t="shared" si="0"/>
        <v>19.290226063829788</v>
      </c>
      <c r="N5" s="5">
        <f>AVERAGE(I5:M5)</f>
        <v>19.271786590266448</v>
      </c>
    </row>
    <row r="6" spans="1:14" x14ac:dyDescent="0.2">
      <c r="A6" s="5" t="s">
        <v>17</v>
      </c>
      <c r="B6" s="5">
        <v>821</v>
      </c>
      <c r="C6" s="5">
        <v>834</v>
      </c>
      <c r="D6" s="5">
        <v>831</v>
      </c>
      <c r="E6" s="5">
        <v>853</v>
      </c>
      <c r="F6" s="5">
        <v>817</v>
      </c>
      <c r="H6" s="5" t="s">
        <v>17</v>
      </c>
      <c r="I6" s="5">
        <f t="shared" ref="I6:I28" si="1">(B6/B$30)*100</f>
        <v>6.8382475428952194</v>
      </c>
      <c r="J6" s="5">
        <f t="shared" ref="J6:J28" si="2">(C6/C$30)*100</f>
        <v>7.0019309881622025</v>
      </c>
      <c r="K6" s="5">
        <f t="shared" ref="K6:K28" si="3">(D6/D$30)*100</f>
        <v>6.880847892688581</v>
      </c>
      <c r="L6" s="5">
        <f t="shared" ref="L6:L28" si="4">(E6/E$30)*100</f>
        <v>7.1047809428619022</v>
      </c>
      <c r="M6" s="5">
        <f t="shared" ref="M6:M28" si="5">(F6/F$30)*100</f>
        <v>6.7902260638297882</v>
      </c>
      <c r="N6" s="5">
        <f t="shared" ref="N6:N28" si="6">AVERAGE(I6:M6)</f>
        <v>6.9232066860875392</v>
      </c>
    </row>
    <row r="7" spans="1:14" x14ac:dyDescent="0.2">
      <c r="A7" s="5" t="s">
        <v>18</v>
      </c>
      <c r="B7" s="5">
        <v>1487</v>
      </c>
      <c r="C7" s="5">
        <v>1519</v>
      </c>
      <c r="D7" s="5">
        <v>1437</v>
      </c>
      <c r="E7" s="5">
        <v>1468</v>
      </c>
      <c r="F7" s="5">
        <v>1479</v>
      </c>
      <c r="H7" s="5" t="s">
        <v>18</v>
      </c>
      <c r="I7" s="5">
        <f t="shared" si="1"/>
        <v>12.385473929701815</v>
      </c>
      <c r="J7" s="5">
        <f t="shared" si="2"/>
        <v>12.752917471245068</v>
      </c>
      <c r="K7" s="5">
        <f t="shared" si="3"/>
        <v>11.89865032706798</v>
      </c>
      <c r="L7" s="5">
        <f t="shared" si="4"/>
        <v>12.227219723471599</v>
      </c>
      <c r="M7" s="5">
        <f t="shared" si="5"/>
        <v>12.292220744680851</v>
      </c>
      <c r="N7" s="5">
        <f t="shared" si="6"/>
        <v>12.311296439233463</v>
      </c>
    </row>
    <row r="8" spans="1:14" x14ac:dyDescent="0.2">
      <c r="A8" s="5" t="s">
        <v>19</v>
      </c>
      <c r="B8" s="5">
        <v>647</v>
      </c>
      <c r="C8" s="5">
        <v>640</v>
      </c>
      <c r="D8" s="5">
        <v>674</v>
      </c>
      <c r="E8" s="5">
        <v>646</v>
      </c>
      <c r="F8" s="5">
        <v>662</v>
      </c>
      <c r="H8" s="5" t="s">
        <v>19</v>
      </c>
      <c r="I8" s="5">
        <f t="shared" si="1"/>
        <v>5.3889721805763786</v>
      </c>
      <c r="J8" s="5">
        <f t="shared" si="2"/>
        <v>5.3731844513474938</v>
      </c>
      <c r="K8" s="5">
        <f t="shared" si="3"/>
        <v>5.5808561728906181</v>
      </c>
      <c r="L8" s="5">
        <f t="shared" si="4"/>
        <v>5.38064301182742</v>
      </c>
      <c r="M8" s="5">
        <f t="shared" si="5"/>
        <v>5.5019946808510642</v>
      </c>
      <c r="N8" s="5">
        <f t="shared" si="6"/>
        <v>5.4451300994985958</v>
      </c>
    </row>
    <row r="9" spans="1:14" x14ac:dyDescent="0.2">
      <c r="A9" s="5" t="s">
        <v>20</v>
      </c>
      <c r="B9" s="5">
        <v>978</v>
      </c>
      <c r="C9" s="5">
        <v>931</v>
      </c>
      <c r="D9" s="5">
        <v>964</v>
      </c>
      <c r="E9" s="5">
        <v>1009</v>
      </c>
      <c r="F9" s="5">
        <v>1024</v>
      </c>
      <c r="H9" s="5" t="s">
        <v>20</v>
      </c>
      <c r="I9" s="5">
        <f t="shared" si="1"/>
        <v>8.1459270364817584</v>
      </c>
      <c r="J9" s="5">
        <f t="shared" si="2"/>
        <v>7.8163042565695573</v>
      </c>
      <c r="K9" s="5">
        <f t="shared" si="3"/>
        <v>7.9821147636002312</v>
      </c>
      <c r="L9" s="5">
        <f t="shared" si="4"/>
        <v>8.4041312676994835</v>
      </c>
      <c r="M9" s="5">
        <f t="shared" si="5"/>
        <v>8.5106382978723403</v>
      </c>
      <c r="N9" s="5">
        <f t="shared" si="6"/>
        <v>8.1718231244446748</v>
      </c>
    </row>
    <row r="10" spans="1:14" x14ac:dyDescent="0.2">
      <c r="A10" s="5" t="s">
        <v>21</v>
      </c>
      <c r="B10" s="5">
        <v>488</v>
      </c>
      <c r="C10" s="5">
        <v>494</v>
      </c>
      <c r="D10" s="5">
        <v>460</v>
      </c>
      <c r="E10" s="5">
        <v>505</v>
      </c>
      <c r="F10" s="5">
        <v>495</v>
      </c>
      <c r="H10" s="5" t="s">
        <v>21</v>
      </c>
      <c r="I10" s="5">
        <f t="shared" si="1"/>
        <v>4.0646343494919206</v>
      </c>
      <c r="J10" s="5">
        <f t="shared" si="2"/>
        <v>4.1474267483838467</v>
      </c>
      <c r="K10" s="5">
        <f t="shared" si="3"/>
        <v>3.8088929369876623</v>
      </c>
      <c r="L10" s="5">
        <f t="shared" si="4"/>
        <v>4.2062302182242206</v>
      </c>
      <c r="M10" s="5">
        <f t="shared" si="5"/>
        <v>4.1140292553191484</v>
      </c>
      <c r="N10" s="5">
        <f t="shared" si="6"/>
        <v>4.0682427016813598</v>
      </c>
    </row>
    <row r="11" spans="1:14" x14ac:dyDescent="0.2">
      <c r="A11" s="5" t="s">
        <v>25</v>
      </c>
      <c r="B11" s="5">
        <v>327</v>
      </c>
      <c r="C11" s="5">
        <v>324</v>
      </c>
      <c r="D11" s="5">
        <v>339</v>
      </c>
      <c r="E11" s="5">
        <v>347</v>
      </c>
      <c r="F11" s="5">
        <v>338</v>
      </c>
      <c r="H11" s="5" t="s">
        <v>25</v>
      </c>
      <c r="I11" s="5">
        <f t="shared" si="1"/>
        <v>2.7236381809095449</v>
      </c>
      <c r="J11" s="5">
        <f t="shared" si="2"/>
        <v>2.7201746284946688</v>
      </c>
      <c r="K11" s="5">
        <f t="shared" si="3"/>
        <v>2.8069884905191684</v>
      </c>
      <c r="L11" s="5">
        <f t="shared" si="4"/>
        <v>2.8902215558887221</v>
      </c>
      <c r="M11" s="5">
        <f t="shared" si="5"/>
        <v>2.8091755319148937</v>
      </c>
      <c r="N11" s="5">
        <f t="shared" si="6"/>
        <v>2.7900396775453999</v>
      </c>
    </row>
    <row r="12" spans="1:14" x14ac:dyDescent="0.2">
      <c r="A12" s="5" t="s">
        <v>26</v>
      </c>
      <c r="B12" s="5">
        <v>310</v>
      </c>
      <c r="C12" s="5">
        <v>322</v>
      </c>
      <c r="D12" s="5">
        <v>353</v>
      </c>
      <c r="E12" s="5">
        <v>325</v>
      </c>
      <c r="F12" s="5">
        <v>344</v>
      </c>
      <c r="H12" s="5" t="s">
        <v>26</v>
      </c>
      <c r="I12" s="5">
        <f t="shared" si="1"/>
        <v>2.5820423121772449</v>
      </c>
      <c r="J12" s="5">
        <f t="shared" si="2"/>
        <v>2.7033834270842076</v>
      </c>
      <c r="K12" s="5">
        <f t="shared" si="3"/>
        <v>2.9229113190361846</v>
      </c>
      <c r="L12" s="5">
        <f t="shared" si="4"/>
        <v>2.7069798434116277</v>
      </c>
      <c r="M12" s="5">
        <f t="shared" si="5"/>
        <v>2.8590425531914891</v>
      </c>
      <c r="N12" s="5">
        <f t="shared" si="6"/>
        <v>2.7548718909801506</v>
      </c>
    </row>
    <row r="13" spans="1:14" x14ac:dyDescent="0.2">
      <c r="A13" s="5" t="s">
        <v>24</v>
      </c>
      <c r="B13" s="5">
        <v>335</v>
      </c>
      <c r="C13" s="5">
        <v>315</v>
      </c>
      <c r="D13" s="5">
        <v>324</v>
      </c>
      <c r="E13" s="5">
        <v>320</v>
      </c>
      <c r="F13" s="5">
        <v>333</v>
      </c>
      <c r="H13" s="5" t="s">
        <v>24</v>
      </c>
      <c r="I13" s="5">
        <f t="shared" si="1"/>
        <v>2.790271530901216</v>
      </c>
      <c r="J13" s="5">
        <f t="shared" si="2"/>
        <v>2.6446142221475948</v>
      </c>
      <c r="K13" s="5">
        <f t="shared" si="3"/>
        <v>2.6827854599652232</v>
      </c>
      <c r="L13" s="5">
        <f t="shared" si="4"/>
        <v>2.6653339996668333</v>
      </c>
      <c r="M13" s="5">
        <f t="shared" si="5"/>
        <v>2.7676196808510638</v>
      </c>
      <c r="N13" s="5">
        <f t="shared" si="6"/>
        <v>2.7101249787063866</v>
      </c>
    </row>
    <row r="14" spans="1:14" x14ac:dyDescent="0.2">
      <c r="A14" s="5" t="s">
        <v>23</v>
      </c>
      <c r="B14" s="5">
        <v>327</v>
      </c>
      <c r="C14" s="5">
        <v>294</v>
      </c>
      <c r="D14" s="5">
        <v>354</v>
      </c>
      <c r="E14" s="5">
        <v>315</v>
      </c>
      <c r="F14" s="5">
        <v>300</v>
      </c>
      <c r="H14" s="5" t="s">
        <v>23</v>
      </c>
      <c r="I14" s="5">
        <f t="shared" si="1"/>
        <v>2.7236381809095449</v>
      </c>
      <c r="J14" s="5">
        <f t="shared" si="2"/>
        <v>2.4683066073377549</v>
      </c>
      <c r="K14" s="5">
        <f t="shared" si="3"/>
        <v>2.9311915210731141</v>
      </c>
      <c r="L14" s="5">
        <f t="shared" si="4"/>
        <v>2.6236881559220389</v>
      </c>
      <c r="M14" s="5">
        <f t="shared" si="5"/>
        <v>2.4933510638297873</v>
      </c>
      <c r="N14" s="5">
        <f t="shared" si="6"/>
        <v>2.648035105814448</v>
      </c>
    </row>
    <row r="15" spans="1:14" x14ac:dyDescent="0.2">
      <c r="A15" s="5" t="s">
        <v>22</v>
      </c>
      <c r="B15" s="5">
        <v>293</v>
      </c>
      <c r="C15" s="5">
        <v>311</v>
      </c>
      <c r="D15" s="5">
        <v>319</v>
      </c>
      <c r="E15" s="5">
        <v>337</v>
      </c>
      <c r="F15" s="5">
        <v>326</v>
      </c>
      <c r="H15" s="5" t="s">
        <v>22</v>
      </c>
      <c r="I15" s="5">
        <f t="shared" si="1"/>
        <v>2.4404464434449444</v>
      </c>
      <c r="J15" s="5">
        <f t="shared" si="2"/>
        <v>2.6110318193266728</v>
      </c>
      <c r="K15" s="5">
        <f t="shared" si="3"/>
        <v>2.6413844497805745</v>
      </c>
      <c r="L15" s="5">
        <f t="shared" si="4"/>
        <v>2.8069298683991337</v>
      </c>
      <c r="M15" s="5">
        <f t="shared" si="5"/>
        <v>2.7094414893617023</v>
      </c>
      <c r="N15" s="5">
        <f t="shared" si="6"/>
        <v>2.6418468140626055</v>
      </c>
    </row>
    <row r="16" spans="1:14" x14ac:dyDescent="0.2">
      <c r="A16" s="5" t="s">
        <v>27</v>
      </c>
      <c r="B16" s="5">
        <v>338</v>
      </c>
      <c r="C16" s="5">
        <v>327</v>
      </c>
      <c r="D16" s="5">
        <v>333</v>
      </c>
      <c r="E16" s="5">
        <v>316</v>
      </c>
      <c r="F16" s="5">
        <v>303</v>
      </c>
      <c r="H16" s="5" t="s">
        <v>27</v>
      </c>
      <c r="I16" s="5">
        <f t="shared" si="1"/>
        <v>2.8152590371480928</v>
      </c>
      <c r="J16" s="5">
        <f t="shared" si="2"/>
        <v>2.7453614306103602</v>
      </c>
      <c r="K16" s="5">
        <f t="shared" si="3"/>
        <v>2.7573072782975903</v>
      </c>
      <c r="L16" s="5">
        <f t="shared" si="4"/>
        <v>2.6320173246709979</v>
      </c>
      <c r="M16" s="5">
        <f t="shared" si="5"/>
        <v>2.5182845744680851</v>
      </c>
      <c r="N16" s="5">
        <f t="shared" si="6"/>
        <v>2.6936459290390249</v>
      </c>
    </row>
    <row r="17" spans="1:14" x14ac:dyDescent="0.2">
      <c r="A17" s="5" t="s">
        <v>37</v>
      </c>
      <c r="B17" s="5">
        <v>178</v>
      </c>
      <c r="C17" s="5">
        <v>160</v>
      </c>
      <c r="D17" s="5">
        <v>170</v>
      </c>
      <c r="E17" s="5">
        <v>175</v>
      </c>
      <c r="F17" s="5">
        <v>194</v>
      </c>
      <c r="H17" s="5" t="s">
        <v>37</v>
      </c>
      <c r="I17" s="5">
        <f t="shared" si="1"/>
        <v>1.4825920373146759</v>
      </c>
      <c r="J17" s="5">
        <f t="shared" si="2"/>
        <v>1.3432961128368734</v>
      </c>
      <c r="K17" s="5">
        <f t="shared" si="3"/>
        <v>1.4076343462780492</v>
      </c>
      <c r="L17" s="5">
        <f t="shared" si="4"/>
        <v>1.4576045310677994</v>
      </c>
      <c r="M17" s="5">
        <f t="shared" si="5"/>
        <v>1.6123670212765957</v>
      </c>
      <c r="N17" s="5">
        <f t="shared" si="6"/>
        <v>1.4606988097547986</v>
      </c>
    </row>
    <row r="18" spans="1:14" x14ac:dyDescent="0.2">
      <c r="A18" s="5" t="s">
        <v>39</v>
      </c>
      <c r="B18" s="5">
        <v>190</v>
      </c>
      <c r="C18" s="5">
        <v>167</v>
      </c>
      <c r="D18" s="5">
        <v>175</v>
      </c>
      <c r="E18" s="5">
        <v>170</v>
      </c>
      <c r="F18" s="5">
        <v>159</v>
      </c>
      <c r="H18" s="5" t="s">
        <v>39</v>
      </c>
      <c r="I18" s="5">
        <f t="shared" si="1"/>
        <v>1.5825420623021822</v>
      </c>
      <c r="J18" s="5">
        <f t="shared" si="2"/>
        <v>1.4020653177734868</v>
      </c>
      <c r="K18" s="5">
        <f t="shared" si="3"/>
        <v>1.4490353564626977</v>
      </c>
      <c r="L18" s="5">
        <f t="shared" si="4"/>
        <v>1.415958687323005</v>
      </c>
      <c r="M18" s="5">
        <f t="shared" si="5"/>
        <v>1.3214760638297871</v>
      </c>
      <c r="N18" s="5">
        <f t="shared" si="6"/>
        <v>1.434215497538232</v>
      </c>
    </row>
    <row r="19" spans="1:14" x14ac:dyDescent="0.2">
      <c r="A19" s="5" t="s">
        <v>35</v>
      </c>
      <c r="B19" s="5">
        <v>514</v>
      </c>
      <c r="C19" s="5">
        <v>490</v>
      </c>
      <c r="D19" s="5">
        <v>527</v>
      </c>
      <c r="E19" s="5">
        <v>494</v>
      </c>
      <c r="F19" s="5">
        <v>489</v>
      </c>
      <c r="H19" s="5" t="s">
        <v>35</v>
      </c>
      <c r="I19" s="5">
        <f t="shared" si="1"/>
        <v>4.2811927369648508</v>
      </c>
      <c r="J19" s="5">
        <f t="shared" si="2"/>
        <v>4.1138443455629252</v>
      </c>
      <c r="K19" s="5">
        <f t="shared" si="3"/>
        <v>4.3636664734619526</v>
      </c>
      <c r="L19" s="5">
        <f t="shared" si="4"/>
        <v>4.1146093619856741</v>
      </c>
      <c r="M19" s="5">
        <f t="shared" si="5"/>
        <v>4.0641622340425529</v>
      </c>
      <c r="N19" s="5">
        <f t="shared" si="6"/>
        <v>4.1874950304035909</v>
      </c>
    </row>
    <row r="20" spans="1:14" x14ac:dyDescent="0.2">
      <c r="A20" s="5" t="s">
        <v>38</v>
      </c>
      <c r="B20" s="5">
        <v>163</v>
      </c>
      <c r="C20" s="5">
        <v>169</v>
      </c>
      <c r="D20" s="5">
        <v>179</v>
      </c>
      <c r="E20" s="5">
        <v>177</v>
      </c>
      <c r="F20" s="5">
        <v>168</v>
      </c>
      <c r="H20" s="5" t="s">
        <v>38</v>
      </c>
      <c r="I20" s="5">
        <f t="shared" si="1"/>
        <v>1.3576545060802931</v>
      </c>
      <c r="J20" s="5">
        <f t="shared" si="2"/>
        <v>1.4188565191839477</v>
      </c>
      <c r="K20" s="5">
        <f t="shared" si="3"/>
        <v>1.4821561646104164</v>
      </c>
      <c r="L20" s="5">
        <f t="shared" si="4"/>
        <v>1.4742628685657171</v>
      </c>
      <c r="M20" s="5">
        <f t="shared" si="5"/>
        <v>1.3962765957446808</v>
      </c>
      <c r="N20" s="5">
        <f t="shared" si="6"/>
        <v>1.4258413308370108</v>
      </c>
    </row>
    <row r="21" spans="1:14" x14ac:dyDescent="0.2">
      <c r="A21" s="5" t="s">
        <v>29</v>
      </c>
      <c r="B21" s="5">
        <v>980</v>
      </c>
      <c r="C21" s="5">
        <v>971</v>
      </c>
      <c r="D21" s="5">
        <v>1025</v>
      </c>
      <c r="E21" s="5">
        <v>989</v>
      </c>
      <c r="F21" s="5">
        <v>1008</v>
      </c>
      <c r="H21" s="5" t="s">
        <v>29</v>
      </c>
      <c r="I21" s="5">
        <f t="shared" si="1"/>
        <v>8.1625853739796757</v>
      </c>
      <c r="J21" s="5">
        <f t="shared" si="2"/>
        <v>8.1521282847787759</v>
      </c>
      <c r="K21" s="5">
        <f t="shared" si="3"/>
        <v>8.4872070878529442</v>
      </c>
      <c r="L21" s="5">
        <f t="shared" si="4"/>
        <v>8.2375478927203059</v>
      </c>
      <c r="M21" s="5">
        <f t="shared" si="5"/>
        <v>8.3776595744680851</v>
      </c>
      <c r="N21" s="5">
        <f t="shared" si="6"/>
        <v>8.2834256427599566</v>
      </c>
    </row>
    <row r="22" spans="1:14" x14ac:dyDescent="0.2">
      <c r="A22" s="5" t="s">
        <v>33</v>
      </c>
      <c r="B22" s="5">
        <v>172</v>
      </c>
      <c r="C22" s="5">
        <v>157</v>
      </c>
      <c r="D22" s="5">
        <v>170</v>
      </c>
      <c r="E22" s="5">
        <v>168</v>
      </c>
      <c r="F22" s="5">
        <v>168</v>
      </c>
      <c r="H22" s="5" t="s">
        <v>33</v>
      </c>
      <c r="I22" s="5">
        <f t="shared" si="1"/>
        <v>1.4326170248209229</v>
      </c>
      <c r="J22" s="5">
        <f t="shared" si="2"/>
        <v>1.3181093107211821</v>
      </c>
      <c r="K22" s="5">
        <f t="shared" si="3"/>
        <v>1.4076343462780492</v>
      </c>
      <c r="L22" s="5">
        <f t="shared" si="4"/>
        <v>1.3993003498250876</v>
      </c>
      <c r="M22" s="5">
        <f t="shared" si="5"/>
        <v>1.3962765957446808</v>
      </c>
      <c r="N22" s="5">
        <f t="shared" si="6"/>
        <v>1.3907875254779845</v>
      </c>
    </row>
    <row r="23" spans="1:14" x14ac:dyDescent="0.2">
      <c r="A23" s="5" t="s">
        <v>30</v>
      </c>
      <c r="B23" s="5">
        <v>340</v>
      </c>
      <c r="C23" s="5">
        <v>322</v>
      </c>
      <c r="D23" s="5">
        <v>322</v>
      </c>
      <c r="E23" s="5">
        <v>323</v>
      </c>
      <c r="F23" s="5">
        <v>313</v>
      </c>
      <c r="H23" s="5" t="s">
        <v>30</v>
      </c>
      <c r="I23" s="5">
        <f t="shared" si="1"/>
        <v>2.83191737464601</v>
      </c>
      <c r="J23" s="5">
        <f t="shared" si="2"/>
        <v>2.7033834270842076</v>
      </c>
      <c r="K23" s="5">
        <f t="shared" si="3"/>
        <v>2.6662250558913634</v>
      </c>
      <c r="L23" s="5">
        <f t="shared" si="4"/>
        <v>2.69032150591371</v>
      </c>
      <c r="M23" s="5">
        <f t="shared" si="5"/>
        <v>2.6013962765957448</v>
      </c>
      <c r="N23" s="5">
        <f t="shared" si="6"/>
        <v>2.6986487280262073</v>
      </c>
    </row>
    <row r="24" spans="1:14" x14ac:dyDescent="0.2">
      <c r="A24" s="5" t="s">
        <v>34</v>
      </c>
      <c r="B24" s="5">
        <v>170</v>
      </c>
      <c r="C24" s="5">
        <v>169</v>
      </c>
      <c r="D24" s="5">
        <v>154</v>
      </c>
      <c r="E24" s="5">
        <v>165</v>
      </c>
      <c r="F24" s="5">
        <v>152</v>
      </c>
      <c r="H24" s="5" t="s">
        <v>34</v>
      </c>
      <c r="I24" s="5">
        <f t="shared" si="1"/>
        <v>1.415958687323005</v>
      </c>
      <c r="J24" s="5">
        <f t="shared" si="2"/>
        <v>1.4188565191839477</v>
      </c>
      <c r="K24" s="5">
        <f t="shared" si="3"/>
        <v>1.275151113687174</v>
      </c>
      <c r="L24" s="5">
        <f t="shared" si="4"/>
        <v>1.3743128435782108</v>
      </c>
      <c r="M24" s="5">
        <f t="shared" si="5"/>
        <v>1.2632978723404253</v>
      </c>
      <c r="N24" s="5">
        <f t="shared" si="6"/>
        <v>1.3495154072225526</v>
      </c>
    </row>
    <row r="25" spans="1:14" x14ac:dyDescent="0.2">
      <c r="A25" s="5" t="s">
        <v>36</v>
      </c>
      <c r="B25" s="5">
        <v>176</v>
      </c>
      <c r="C25" s="5">
        <v>162</v>
      </c>
      <c r="D25" s="5">
        <v>159</v>
      </c>
      <c r="E25" s="5">
        <v>153</v>
      </c>
      <c r="F25" s="5">
        <v>159</v>
      </c>
      <c r="H25" s="5" t="s">
        <v>36</v>
      </c>
      <c r="I25" s="5">
        <f t="shared" si="1"/>
        <v>1.4659336998167583</v>
      </c>
      <c r="J25" s="5">
        <f t="shared" si="2"/>
        <v>1.3600873142473344</v>
      </c>
      <c r="K25" s="5">
        <f t="shared" si="3"/>
        <v>1.3165521238718225</v>
      </c>
      <c r="L25" s="5">
        <f t="shared" si="4"/>
        <v>1.2743628185907045</v>
      </c>
      <c r="M25" s="5">
        <f t="shared" si="5"/>
        <v>1.3214760638297871</v>
      </c>
      <c r="N25" s="5">
        <f t="shared" si="6"/>
        <v>1.3476824040712816</v>
      </c>
    </row>
    <row r="26" spans="1:14" x14ac:dyDescent="0.2">
      <c r="A26" s="5" t="s">
        <v>31</v>
      </c>
      <c r="B26" s="5">
        <v>152</v>
      </c>
      <c r="C26" s="5">
        <v>176</v>
      </c>
      <c r="D26" s="5">
        <v>161</v>
      </c>
      <c r="E26" s="5">
        <v>155</v>
      </c>
      <c r="F26" s="5">
        <v>165</v>
      </c>
      <c r="H26" s="5" t="s">
        <v>31</v>
      </c>
      <c r="I26" s="5">
        <f t="shared" si="1"/>
        <v>1.2660336498417457</v>
      </c>
      <c r="J26" s="5">
        <f t="shared" si="2"/>
        <v>1.4776257241205608</v>
      </c>
      <c r="K26" s="5">
        <f t="shared" si="3"/>
        <v>1.3331125279456817</v>
      </c>
      <c r="L26" s="5">
        <f t="shared" si="4"/>
        <v>1.2910211560886224</v>
      </c>
      <c r="M26" s="5">
        <f t="shared" si="5"/>
        <v>1.3713430851063828</v>
      </c>
      <c r="N26" s="5">
        <f t="shared" si="6"/>
        <v>1.3478272286205988</v>
      </c>
    </row>
    <row r="27" spans="1:14" x14ac:dyDescent="0.2">
      <c r="A27" s="5" t="s">
        <v>32</v>
      </c>
      <c r="B27" s="5">
        <v>144</v>
      </c>
      <c r="C27" s="5">
        <v>155</v>
      </c>
      <c r="D27" s="5">
        <v>173</v>
      </c>
      <c r="E27" s="5">
        <v>158</v>
      </c>
      <c r="F27" s="5">
        <v>168</v>
      </c>
      <c r="H27" s="5" t="s">
        <v>32</v>
      </c>
      <c r="I27" s="5">
        <f t="shared" si="1"/>
        <v>1.199400299850075</v>
      </c>
      <c r="J27" s="5">
        <f t="shared" si="2"/>
        <v>1.3013181093107211</v>
      </c>
      <c r="K27" s="5">
        <f t="shared" si="3"/>
        <v>1.4324749523888383</v>
      </c>
      <c r="L27" s="5">
        <f t="shared" si="4"/>
        <v>1.316008662335499</v>
      </c>
      <c r="M27" s="5">
        <f t="shared" si="5"/>
        <v>1.3962765957446808</v>
      </c>
      <c r="N27" s="5">
        <f t="shared" si="6"/>
        <v>1.3290957239259626</v>
      </c>
    </row>
    <row r="28" spans="1:14" x14ac:dyDescent="0.2">
      <c r="A28" s="5" t="s">
        <v>28</v>
      </c>
      <c r="B28" s="5">
        <v>158</v>
      </c>
      <c r="C28" s="5">
        <v>180</v>
      </c>
      <c r="D28" s="5">
        <v>152</v>
      </c>
      <c r="E28" s="5">
        <v>152</v>
      </c>
      <c r="F28" s="5">
        <v>147</v>
      </c>
      <c r="H28" s="5" t="s">
        <v>28</v>
      </c>
      <c r="I28" s="5">
        <f t="shared" si="1"/>
        <v>1.316008662335499</v>
      </c>
      <c r="J28" s="5">
        <f t="shared" si="2"/>
        <v>1.5112081269414828</v>
      </c>
      <c r="K28" s="5">
        <f t="shared" si="3"/>
        <v>1.2585907096133144</v>
      </c>
      <c r="L28" s="5">
        <f t="shared" si="4"/>
        <v>1.2660336498417457</v>
      </c>
      <c r="M28" s="5">
        <f t="shared" si="5"/>
        <v>1.2217420212765957</v>
      </c>
      <c r="N28" s="5">
        <f t="shared" si="6"/>
        <v>1.3147166340017276</v>
      </c>
    </row>
    <row r="30" spans="1:14" s="6" customFormat="1" x14ac:dyDescent="0.2">
      <c r="A30" s="15" t="s">
        <v>14</v>
      </c>
      <c r="B30" s="6">
        <f>SUM(B5:B28)</f>
        <v>12006</v>
      </c>
      <c r="C30" s="6">
        <f>SUM(C5:C28)</f>
        <v>11911</v>
      </c>
      <c r="D30" s="6">
        <f>SUM(D5:D28)</f>
        <v>12077</v>
      </c>
      <c r="E30" s="6">
        <f>SUM(E5:E28)</f>
        <v>12006</v>
      </c>
      <c r="F30" s="6">
        <f>SUM(F5:F28)</f>
        <v>12032</v>
      </c>
      <c r="H30" s="15" t="s">
        <v>14</v>
      </c>
      <c r="I30" s="6">
        <f>SUM(I5:I28)</f>
        <v>100.00000000000001</v>
      </c>
      <c r="J30" s="6">
        <f>SUM(J5:J28)</f>
        <v>99.999999999999986</v>
      </c>
      <c r="K30" s="6">
        <f>SUM(K5:K28)</f>
        <v>99.999999999999986</v>
      </c>
      <c r="L30" s="6">
        <f>SUM(L5:L28)</f>
        <v>100</v>
      </c>
      <c r="M30" s="6">
        <f>SUM(M5:M28)</f>
        <v>100.00000000000004</v>
      </c>
    </row>
  </sheetData>
  <mergeCells count="2">
    <mergeCell ref="B3:F3"/>
    <mergeCell ref="I3:M3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5" defaultRowHeight="16" x14ac:dyDescent="0.2"/>
  <cols>
    <col min="1" max="1" width="34.5" style="5" customWidth="1"/>
    <col min="2" max="6" width="8.5" style="5"/>
    <col min="7" max="7" width="14.5" style="5" customWidth="1"/>
    <col min="8" max="8" width="33" style="5" customWidth="1"/>
    <col min="9" max="14" width="8.5" style="5"/>
    <col min="15" max="15" width="12.83203125" style="5" customWidth="1"/>
    <col min="16" max="16" width="42.1640625" style="5" customWidth="1"/>
    <col min="17" max="23" width="8.5" style="5"/>
    <col min="24" max="24" width="9.1640625" style="5" customWidth="1"/>
    <col min="25" max="16384" width="8.5" style="5"/>
  </cols>
  <sheetData>
    <row r="1" spans="1:21" x14ac:dyDescent="0.2">
      <c r="A1" s="6" t="s">
        <v>114</v>
      </c>
    </row>
    <row r="3" spans="1:21" x14ac:dyDescent="0.2">
      <c r="B3" s="23" t="s">
        <v>66</v>
      </c>
      <c r="C3" s="23"/>
      <c r="D3" s="23"/>
      <c r="E3" s="23"/>
      <c r="F3" s="23"/>
      <c r="I3" s="23" t="s">
        <v>67</v>
      </c>
      <c r="J3" s="23"/>
      <c r="K3" s="23"/>
      <c r="L3" s="23"/>
      <c r="M3" s="23"/>
      <c r="N3" s="14"/>
      <c r="P3" s="14"/>
      <c r="Q3" s="23" t="s">
        <v>68</v>
      </c>
      <c r="R3" s="23"/>
      <c r="S3" s="23"/>
      <c r="T3" s="23"/>
      <c r="U3" s="23"/>
    </row>
    <row r="4" spans="1:21" s="6" customFormat="1" x14ac:dyDescent="0.2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H4" s="6" t="s">
        <v>0</v>
      </c>
      <c r="I4" s="6" t="s">
        <v>1</v>
      </c>
      <c r="J4" s="6" t="s">
        <v>2</v>
      </c>
      <c r="K4" s="6" t="s">
        <v>3</v>
      </c>
      <c r="L4" s="6" t="s">
        <v>4</v>
      </c>
      <c r="M4" s="6" t="s">
        <v>5</v>
      </c>
      <c r="N4" s="6" t="s">
        <v>82</v>
      </c>
      <c r="P4" s="6" t="s">
        <v>0</v>
      </c>
      <c r="Q4" s="6" t="s">
        <v>1</v>
      </c>
      <c r="R4" s="6" t="s">
        <v>2</v>
      </c>
      <c r="S4" s="6" t="s">
        <v>3</v>
      </c>
      <c r="T4" s="6" t="s">
        <v>4</v>
      </c>
      <c r="U4" s="6" t="s">
        <v>5</v>
      </c>
    </row>
    <row r="5" spans="1:21" x14ac:dyDescent="0.2">
      <c r="A5" s="5" t="s">
        <v>295</v>
      </c>
      <c r="B5" s="5">
        <v>177</v>
      </c>
      <c r="C5" s="5">
        <v>163</v>
      </c>
      <c r="D5" s="5">
        <v>189</v>
      </c>
      <c r="E5" s="5">
        <v>158</v>
      </c>
      <c r="F5" s="5">
        <v>169</v>
      </c>
      <c r="H5" s="5" t="s">
        <v>295</v>
      </c>
      <c r="I5" s="5">
        <f t="shared" ref="I5:M12" si="0">(B5/B$14)*100</f>
        <v>1.4742628685657171</v>
      </c>
      <c r="J5" s="5">
        <f t="shared" si="0"/>
        <v>1.3684829149525648</v>
      </c>
      <c r="K5" s="5">
        <f t="shared" si="0"/>
        <v>1.5649581849797134</v>
      </c>
      <c r="L5" s="5">
        <f t="shared" si="0"/>
        <v>1.316008662335499</v>
      </c>
      <c r="M5" s="5">
        <f t="shared" si="0"/>
        <v>1.4045877659574468</v>
      </c>
      <c r="N5" s="5">
        <f>AVERAGE(I5:M5)</f>
        <v>1.4256600793581884</v>
      </c>
      <c r="P5" s="5" t="s">
        <v>41</v>
      </c>
      <c r="Q5" s="5">
        <f>SUM(I6,I10)</f>
        <v>2.9568549058803928</v>
      </c>
      <c r="R5" s="5">
        <f>SUM(J6,J10)</f>
        <v>2.8461086390731261</v>
      </c>
      <c r="S5" s="5">
        <f>SUM(K6,K10)</f>
        <v>2.7490270762606608</v>
      </c>
      <c r="T5" s="5">
        <f>SUM(L6,L10)</f>
        <v>2.7569548559053807</v>
      </c>
      <c r="U5" s="5">
        <f>SUM(M6,M10)</f>
        <v>2.8174867021276597</v>
      </c>
    </row>
    <row r="6" spans="1:21" x14ac:dyDescent="0.2">
      <c r="A6" s="5" t="s">
        <v>296</v>
      </c>
      <c r="B6" s="5">
        <v>184</v>
      </c>
      <c r="C6" s="5">
        <v>166</v>
      </c>
      <c r="D6" s="5">
        <v>163</v>
      </c>
      <c r="E6" s="5">
        <v>166</v>
      </c>
      <c r="F6" s="5">
        <v>175</v>
      </c>
      <c r="H6" s="5" t="s">
        <v>296</v>
      </c>
      <c r="I6" s="5">
        <f t="shared" si="0"/>
        <v>1.5325670498084289</v>
      </c>
      <c r="J6" s="5">
        <f t="shared" si="0"/>
        <v>1.3936697170682564</v>
      </c>
      <c r="K6" s="5">
        <f t="shared" si="0"/>
        <v>1.3496729320195413</v>
      </c>
      <c r="L6" s="5">
        <f t="shared" si="0"/>
        <v>1.3826420123271697</v>
      </c>
      <c r="M6" s="5">
        <f t="shared" si="0"/>
        <v>1.4544547872340425</v>
      </c>
      <c r="N6" s="5">
        <f t="shared" ref="N6:N12" si="1">AVERAGE(I6:M6)</f>
        <v>1.4226012996914876</v>
      </c>
      <c r="P6" s="5" t="s">
        <v>40</v>
      </c>
      <c r="Q6" s="5">
        <f>SUM(I12,I7)</f>
        <v>2.6570048309178746</v>
      </c>
      <c r="R6" s="5">
        <f>SUM(J12,J7)</f>
        <v>2.4767022080429855</v>
      </c>
      <c r="S6" s="5">
        <f>SUM(K12,K7)</f>
        <v>2.8649499047776765</v>
      </c>
      <c r="T6" s="5">
        <f>SUM(L12,L7)</f>
        <v>2.7986006996501747</v>
      </c>
      <c r="U6" s="5">
        <f>SUM(M12,M7)</f>
        <v>2.6346409574468086</v>
      </c>
    </row>
    <row r="7" spans="1:21" x14ac:dyDescent="0.2">
      <c r="A7" s="5" t="s">
        <v>297</v>
      </c>
      <c r="B7" s="5">
        <v>158</v>
      </c>
      <c r="C7" s="5">
        <v>148</v>
      </c>
      <c r="D7" s="5">
        <v>178</v>
      </c>
      <c r="E7" s="5">
        <v>159</v>
      </c>
      <c r="F7" s="5">
        <v>155</v>
      </c>
      <c r="H7" s="5" t="s">
        <v>297</v>
      </c>
      <c r="I7" s="5">
        <f t="shared" si="0"/>
        <v>1.316008662335499</v>
      </c>
      <c r="J7" s="5">
        <f t="shared" si="0"/>
        <v>1.242548904374108</v>
      </c>
      <c r="K7" s="5">
        <f t="shared" si="0"/>
        <v>1.4738759625734867</v>
      </c>
      <c r="L7" s="5">
        <f t="shared" si="0"/>
        <v>1.3243378310844578</v>
      </c>
      <c r="M7" s="5">
        <f t="shared" si="0"/>
        <v>1.2882313829787235</v>
      </c>
      <c r="N7" s="5">
        <f t="shared" si="1"/>
        <v>1.3290005486692551</v>
      </c>
      <c r="P7" s="5" t="s">
        <v>42</v>
      </c>
      <c r="Q7" s="5">
        <f>I11</f>
        <v>1.3826420123271697</v>
      </c>
      <c r="R7" s="5">
        <f>J11</f>
        <v>1.2929225086054907</v>
      </c>
      <c r="S7" s="5">
        <f>K11</f>
        <v>1.3993541442411195</v>
      </c>
      <c r="T7" s="5">
        <f>L11</f>
        <v>1.4242878560719641</v>
      </c>
      <c r="U7" s="5">
        <f>M11</f>
        <v>1.2965425531914894</v>
      </c>
    </row>
    <row r="8" spans="1:21" x14ac:dyDescent="0.2">
      <c r="A8" s="5" t="s">
        <v>302</v>
      </c>
      <c r="B8" s="5">
        <v>172</v>
      </c>
      <c r="C8" s="5">
        <v>156</v>
      </c>
      <c r="D8" s="5">
        <v>181</v>
      </c>
      <c r="E8" s="5">
        <v>157</v>
      </c>
      <c r="F8" s="5">
        <v>179</v>
      </c>
      <c r="H8" s="5" t="s">
        <v>302</v>
      </c>
      <c r="I8" s="5">
        <f t="shared" si="0"/>
        <v>1.4326170248209229</v>
      </c>
      <c r="J8" s="5">
        <f t="shared" si="0"/>
        <v>1.3097137100159517</v>
      </c>
      <c r="K8" s="5">
        <f t="shared" si="0"/>
        <v>1.4987165686842758</v>
      </c>
      <c r="L8" s="5">
        <f t="shared" si="0"/>
        <v>1.3076794935865399</v>
      </c>
      <c r="M8" s="5">
        <f t="shared" si="0"/>
        <v>1.4876994680851063</v>
      </c>
      <c r="N8" s="5">
        <f t="shared" si="1"/>
        <v>1.4072852530385593</v>
      </c>
      <c r="P8" s="5" t="s">
        <v>43</v>
      </c>
      <c r="Q8" s="5">
        <f t="shared" ref="Q8:U9" si="2">I8</f>
        <v>1.4326170248209229</v>
      </c>
      <c r="R8" s="5">
        <f t="shared" si="2"/>
        <v>1.3097137100159517</v>
      </c>
      <c r="S8" s="5">
        <f t="shared" si="2"/>
        <v>1.4987165686842758</v>
      </c>
      <c r="T8" s="5">
        <f t="shared" si="2"/>
        <v>1.3076794935865399</v>
      </c>
      <c r="U8" s="5">
        <f t="shared" si="2"/>
        <v>1.4876994680851063</v>
      </c>
    </row>
    <row r="9" spans="1:21" x14ac:dyDescent="0.2">
      <c r="A9" s="5" t="s">
        <v>298</v>
      </c>
      <c r="B9" s="5">
        <v>160</v>
      </c>
      <c r="C9" s="5">
        <v>182</v>
      </c>
      <c r="D9" s="5">
        <v>162</v>
      </c>
      <c r="E9" s="5">
        <v>157</v>
      </c>
      <c r="F9" s="5">
        <v>183</v>
      </c>
      <c r="H9" s="5" t="s">
        <v>298</v>
      </c>
      <c r="I9" s="5">
        <f t="shared" si="0"/>
        <v>1.3326669998334166</v>
      </c>
      <c r="J9" s="5">
        <f t="shared" si="0"/>
        <v>1.5279993283519435</v>
      </c>
      <c r="K9" s="5">
        <f t="shared" si="0"/>
        <v>1.3413927299826116</v>
      </c>
      <c r="L9" s="5">
        <f t="shared" si="0"/>
        <v>1.3076794935865399</v>
      </c>
      <c r="M9" s="5">
        <f t="shared" si="0"/>
        <v>1.5209441489361704</v>
      </c>
      <c r="N9" s="5">
        <f t="shared" si="1"/>
        <v>1.4061365401381365</v>
      </c>
      <c r="P9" s="5" t="s">
        <v>298</v>
      </c>
      <c r="Q9" s="5">
        <f t="shared" si="2"/>
        <v>1.3326669998334166</v>
      </c>
      <c r="R9" s="5">
        <f t="shared" si="2"/>
        <v>1.5279993283519435</v>
      </c>
      <c r="S9" s="5">
        <f t="shared" si="2"/>
        <v>1.3413927299826116</v>
      </c>
      <c r="T9" s="5">
        <f t="shared" si="2"/>
        <v>1.3076794935865399</v>
      </c>
      <c r="U9" s="5">
        <f t="shared" si="2"/>
        <v>1.5209441489361704</v>
      </c>
    </row>
    <row r="10" spans="1:21" x14ac:dyDescent="0.2">
      <c r="A10" s="5" t="s">
        <v>299</v>
      </c>
      <c r="B10" s="5">
        <v>171</v>
      </c>
      <c r="C10" s="5">
        <v>173</v>
      </c>
      <c r="D10" s="5">
        <v>169</v>
      </c>
      <c r="E10" s="5">
        <v>165</v>
      </c>
      <c r="F10" s="5">
        <v>164</v>
      </c>
      <c r="H10" s="5" t="s">
        <v>299</v>
      </c>
      <c r="I10" s="5">
        <f t="shared" si="0"/>
        <v>1.4242878560719641</v>
      </c>
      <c r="J10" s="5">
        <f t="shared" si="0"/>
        <v>1.4524389220048695</v>
      </c>
      <c r="K10" s="5">
        <f t="shared" si="0"/>
        <v>1.3993541442411195</v>
      </c>
      <c r="L10" s="5">
        <f t="shared" si="0"/>
        <v>1.3743128435782108</v>
      </c>
      <c r="M10" s="5">
        <f t="shared" si="0"/>
        <v>1.3630319148936172</v>
      </c>
      <c r="N10" s="5">
        <f t="shared" si="1"/>
        <v>1.4026851361579562</v>
      </c>
      <c r="P10" s="5" t="s">
        <v>295</v>
      </c>
      <c r="Q10" s="5">
        <f>I5</f>
        <v>1.4742628685657171</v>
      </c>
      <c r="R10" s="5">
        <f>J5</f>
        <v>1.3684829149525648</v>
      </c>
      <c r="S10" s="5">
        <f>K5</f>
        <v>1.5649581849797134</v>
      </c>
      <c r="T10" s="5">
        <f>L5</f>
        <v>1.316008662335499</v>
      </c>
      <c r="U10" s="5">
        <f>M5</f>
        <v>1.4045877659574468</v>
      </c>
    </row>
    <row r="11" spans="1:21" x14ac:dyDescent="0.2">
      <c r="A11" s="5" t="s">
        <v>300</v>
      </c>
      <c r="B11" s="5">
        <v>166</v>
      </c>
      <c r="C11" s="5">
        <v>154</v>
      </c>
      <c r="D11" s="5">
        <v>169</v>
      </c>
      <c r="E11" s="5">
        <v>171</v>
      </c>
      <c r="F11" s="5">
        <v>156</v>
      </c>
      <c r="H11" s="5" t="s">
        <v>300</v>
      </c>
      <c r="I11" s="5">
        <f t="shared" si="0"/>
        <v>1.3826420123271697</v>
      </c>
      <c r="J11" s="5">
        <f t="shared" si="0"/>
        <v>1.2929225086054907</v>
      </c>
      <c r="K11" s="5">
        <f t="shared" si="0"/>
        <v>1.3993541442411195</v>
      </c>
      <c r="L11" s="5">
        <f t="shared" si="0"/>
        <v>1.4242878560719641</v>
      </c>
      <c r="M11" s="5">
        <f t="shared" si="0"/>
        <v>1.2965425531914894</v>
      </c>
      <c r="N11" s="5">
        <f t="shared" si="1"/>
        <v>1.3591498148874466</v>
      </c>
    </row>
    <row r="12" spans="1:21" x14ac:dyDescent="0.2">
      <c r="A12" s="5" t="s">
        <v>301</v>
      </c>
      <c r="B12" s="5">
        <v>161</v>
      </c>
      <c r="C12" s="5">
        <v>147</v>
      </c>
      <c r="D12" s="5">
        <v>168</v>
      </c>
      <c r="E12" s="5">
        <v>177</v>
      </c>
      <c r="F12" s="5">
        <v>162</v>
      </c>
      <c r="H12" s="5" t="s">
        <v>301</v>
      </c>
      <c r="I12" s="5">
        <f t="shared" si="0"/>
        <v>1.3409961685823755</v>
      </c>
      <c r="J12" s="5">
        <f t="shared" si="0"/>
        <v>1.2341533036688774</v>
      </c>
      <c r="K12" s="5">
        <f t="shared" si="0"/>
        <v>1.3910739422041898</v>
      </c>
      <c r="L12" s="5">
        <f t="shared" si="0"/>
        <v>1.4742628685657171</v>
      </c>
      <c r="M12" s="5">
        <f t="shared" si="0"/>
        <v>1.3464095744680851</v>
      </c>
      <c r="N12" s="5">
        <f t="shared" si="1"/>
        <v>1.3573791714978491</v>
      </c>
    </row>
    <row r="14" spans="1:21" x14ac:dyDescent="0.2">
      <c r="A14" s="15" t="s">
        <v>14</v>
      </c>
      <c r="B14" s="6">
        <v>12006</v>
      </c>
      <c r="C14" s="6">
        <v>11911</v>
      </c>
      <c r="D14" s="6">
        <v>12077</v>
      </c>
      <c r="E14" s="6">
        <v>12006</v>
      </c>
      <c r="F14" s="6">
        <v>12032</v>
      </c>
      <c r="G14" s="6"/>
      <c r="H14" s="15" t="s">
        <v>14</v>
      </c>
      <c r="I14" s="6">
        <f>SUM(I5:I12)</f>
        <v>11.236048642345493</v>
      </c>
      <c r="J14" s="6">
        <f t="shared" ref="J14:M14" si="3">SUM(J5:J12)</f>
        <v>10.821929309042062</v>
      </c>
      <c r="K14" s="6">
        <f t="shared" si="3"/>
        <v>11.418398608926058</v>
      </c>
      <c r="L14" s="6">
        <f t="shared" si="3"/>
        <v>10.911211061136097</v>
      </c>
      <c r="M14" s="6">
        <f t="shared" si="3"/>
        <v>11.161901595744682</v>
      </c>
    </row>
  </sheetData>
  <mergeCells count="3">
    <mergeCell ref="Q3:U3"/>
    <mergeCell ref="I3:M3"/>
    <mergeCell ref="B3:F3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AF93-A8A0-4BAF-B87E-1C2DE9FDB29D}">
  <dimension ref="A1:K37"/>
  <sheetViews>
    <sheetView zoomScale="110" zoomScaleNormal="110" workbookViewId="0">
      <pane ySplit="4" topLeftCell="A5" activePane="bottomLeft" state="frozen"/>
      <selection pane="bottomLeft" activeCell="D41" sqref="D41"/>
    </sheetView>
  </sheetViews>
  <sheetFormatPr baseColWidth="10" defaultColWidth="8.83203125" defaultRowHeight="15" x14ac:dyDescent="0.2"/>
  <cols>
    <col min="1" max="1" width="46.83203125" customWidth="1"/>
    <col min="2" max="2" width="13.83203125" style="1" customWidth="1"/>
    <col min="3" max="3" width="19.83203125" style="3" customWidth="1"/>
    <col min="4" max="4" width="106.5" customWidth="1"/>
    <col min="5" max="5" width="30.5" customWidth="1"/>
    <col min="6" max="6" width="16.5" customWidth="1"/>
    <col min="7" max="7" width="38.5" customWidth="1"/>
    <col min="8" max="8" width="19.5" customWidth="1"/>
  </cols>
  <sheetData>
    <row r="1" spans="1:11" ht="23" customHeight="1" x14ac:dyDescent="0.2">
      <c r="A1" s="8" t="s">
        <v>112</v>
      </c>
    </row>
    <row r="3" spans="1:11" ht="16" x14ac:dyDescent="0.2">
      <c r="A3" s="5"/>
      <c r="B3" s="23" t="s">
        <v>96</v>
      </c>
      <c r="C3" s="23"/>
      <c r="D3" s="5"/>
      <c r="E3" s="5"/>
      <c r="F3" s="6" t="s">
        <v>96</v>
      </c>
      <c r="G3" s="5"/>
      <c r="H3" s="5"/>
      <c r="I3" s="5"/>
      <c r="J3" s="5"/>
    </row>
    <row r="4" spans="1:11" s="4" customFormat="1" ht="16" x14ac:dyDescent="0.2">
      <c r="A4" s="6" t="s">
        <v>108</v>
      </c>
      <c r="B4" s="9" t="s">
        <v>97</v>
      </c>
      <c r="C4" s="10" t="s">
        <v>98</v>
      </c>
      <c r="D4" s="6" t="s">
        <v>109</v>
      </c>
      <c r="E4" s="6" t="s">
        <v>110</v>
      </c>
      <c r="F4" s="11" t="s">
        <v>99</v>
      </c>
      <c r="G4" s="6" t="s">
        <v>102</v>
      </c>
      <c r="H4" s="6" t="s">
        <v>100</v>
      </c>
      <c r="I4" s="6"/>
      <c r="J4" s="6" t="s">
        <v>103</v>
      </c>
      <c r="K4"/>
    </row>
    <row r="5" spans="1:11" ht="16" x14ac:dyDescent="0.2">
      <c r="A5" s="5" t="s">
        <v>64</v>
      </c>
      <c r="B5" s="12">
        <v>2.78</v>
      </c>
      <c r="C5" s="13">
        <v>2.6936459290390249</v>
      </c>
      <c r="D5" s="5" t="s">
        <v>27</v>
      </c>
      <c r="E5" s="5" t="s">
        <v>81</v>
      </c>
      <c r="F5" s="12">
        <v>0</v>
      </c>
      <c r="G5" s="5" t="s">
        <v>64</v>
      </c>
      <c r="H5" s="5">
        <v>2</v>
      </c>
      <c r="I5" s="7">
        <v>2.7777777777777777</v>
      </c>
      <c r="J5" s="5" t="s">
        <v>101</v>
      </c>
      <c r="K5" s="4"/>
    </row>
    <row r="6" spans="1:11" ht="16" x14ac:dyDescent="0.2">
      <c r="A6" s="5" t="s">
        <v>62</v>
      </c>
      <c r="B6" s="12">
        <v>1.39</v>
      </c>
      <c r="C6" s="13">
        <v>1.3907875254779845</v>
      </c>
      <c r="D6" s="5" t="s">
        <v>33</v>
      </c>
      <c r="E6" s="5" t="s">
        <v>81</v>
      </c>
      <c r="F6" s="12">
        <v>0</v>
      </c>
      <c r="G6" s="5" t="s">
        <v>62</v>
      </c>
      <c r="H6" s="5">
        <v>1</v>
      </c>
      <c r="I6" s="7">
        <v>1.3888888888888888</v>
      </c>
      <c r="J6" s="5" t="s">
        <v>101</v>
      </c>
    </row>
    <row r="7" spans="1:11" ht="16" x14ac:dyDescent="0.2">
      <c r="A7" s="5" t="s">
        <v>54</v>
      </c>
      <c r="B7" s="12">
        <v>2.78</v>
      </c>
      <c r="C7" s="13">
        <v>2.6418468140626055</v>
      </c>
      <c r="D7" s="5" t="s">
        <v>87</v>
      </c>
      <c r="E7" s="5" t="s">
        <v>81</v>
      </c>
      <c r="F7" s="12">
        <v>0</v>
      </c>
      <c r="G7" s="5" t="s">
        <v>54</v>
      </c>
      <c r="H7" s="5">
        <v>2</v>
      </c>
      <c r="I7" s="7">
        <v>2.7777777777777777</v>
      </c>
      <c r="J7" s="5" t="s">
        <v>101</v>
      </c>
    </row>
    <row r="8" spans="1:11" ht="16" x14ac:dyDescent="0.2">
      <c r="A8" s="5" t="s">
        <v>46</v>
      </c>
      <c r="B8" s="12">
        <v>8.33</v>
      </c>
      <c r="C8" s="13">
        <v>8.1718231244446748</v>
      </c>
      <c r="D8" s="5" t="s">
        <v>20</v>
      </c>
      <c r="E8" s="5" t="s">
        <v>81</v>
      </c>
      <c r="F8" s="12">
        <v>0</v>
      </c>
      <c r="G8" s="5" t="s">
        <v>46</v>
      </c>
      <c r="H8" s="5">
        <v>6</v>
      </c>
      <c r="I8" s="7">
        <v>8.3333333333333321</v>
      </c>
      <c r="J8" s="5" t="s">
        <v>101</v>
      </c>
    </row>
    <row r="9" spans="1:11" ht="16" x14ac:dyDescent="0.2">
      <c r="A9" s="5" t="s">
        <v>51</v>
      </c>
      <c r="B9" s="12">
        <v>1.39</v>
      </c>
      <c r="C9" s="13">
        <v>1.3495154072225526</v>
      </c>
      <c r="D9" s="5" t="s">
        <v>34</v>
      </c>
      <c r="E9" s="5" t="s">
        <v>81</v>
      </c>
      <c r="F9" s="12">
        <v>0</v>
      </c>
      <c r="G9" s="5" t="s">
        <v>51</v>
      </c>
      <c r="H9" s="5">
        <v>1</v>
      </c>
      <c r="I9" s="7">
        <v>1.3888888888888888</v>
      </c>
      <c r="J9" s="5" t="s">
        <v>101</v>
      </c>
    </row>
    <row r="10" spans="1:11" ht="16" x14ac:dyDescent="0.2">
      <c r="A10" s="5" t="s">
        <v>106</v>
      </c>
      <c r="B10" s="12">
        <v>2.78</v>
      </c>
      <c r="C10" s="13">
        <v>2.7101249787063866</v>
      </c>
      <c r="D10" s="5" t="s">
        <v>24</v>
      </c>
      <c r="E10" s="5" t="s">
        <v>81</v>
      </c>
      <c r="F10" s="12">
        <v>0</v>
      </c>
      <c r="G10" s="5" t="s">
        <v>48</v>
      </c>
      <c r="H10" s="5">
        <v>2</v>
      </c>
      <c r="I10" s="7">
        <v>2.7777777777777777</v>
      </c>
      <c r="J10" s="5" t="s">
        <v>101</v>
      </c>
    </row>
    <row r="11" spans="1:11" ht="16" x14ac:dyDescent="0.2">
      <c r="A11" s="5" t="s">
        <v>45</v>
      </c>
      <c r="B11" s="12">
        <v>6.94</v>
      </c>
      <c r="C11" s="13">
        <v>6.9232066860875392</v>
      </c>
      <c r="D11" s="5" t="s">
        <v>83</v>
      </c>
      <c r="E11" s="5" t="s">
        <v>81</v>
      </c>
      <c r="F11" s="12">
        <v>0</v>
      </c>
      <c r="G11" s="5" t="s">
        <v>45</v>
      </c>
      <c r="H11" s="5">
        <v>5</v>
      </c>
      <c r="I11" s="7">
        <v>6.9444444444444446</v>
      </c>
      <c r="J11" s="5" t="s">
        <v>101</v>
      </c>
    </row>
    <row r="12" spans="1:11" ht="16" x14ac:dyDescent="0.2">
      <c r="A12" s="5" t="s">
        <v>49</v>
      </c>
      <c r="B12" s="12">
        <v>2.78</v>
      </c>
      <c r="C12" s="13">
        <v>2.648035105814448</v>
      </c>
      <c r="D12" s="5" t="s">
        <v>84</v>
      </c>
      <c r="E12" s="5" t="s">
        <v>81</v>
      </c>
      <c r="F12" s="12">
        <v>0</v>
      </c>
      <c r="G12" s="5" t="s">
        <v>49</v>
      </c>
      <c r="H12" s="5">
        <v>2</v>
      </c>
      <c r="I12" s="7">
        <v>2.7777777777777777</v>
      </c>
      <c r="J12" s="5" t="s">
        <v>101</v>
      </c>
    </row>
    <row r="13" spans="1:11" ht="16" x14ac:dyDescent="0.2">
      <c r="A13" s="5" t="s">
        <v>52</v>
      </c>
      <c r="B13" s="12">
        <v>1.39</v>
      </c>
      <c r="C13" s="13">
        <v>1.3478272286205988</v>
      </c>
      <c r="D13" s="5" t="s">
        <v>86</v>
      </c>
      <c r="E13" s="5" t="s">
        <v>81</v>
      </c>
      <c r="F13" s="12">
        <v>0</v>
      </c>
      <c r="G13" s="5" t="s">
        <v>52</v>
      </c>
      <c r="H13" s="5">
        <v>1</v>
      </c>
      <c r="I13" s="7">
        <v>1.3888888888888888</v>
      </c>
      <c r="J13" s="5" t="s">
        <v>101</v>
      </c>
    </row>
    <row r="14" spans="1:11" ht="16" x14ac:dyDescent="0.2">
      <c r="A14" s="5" t="s">
        <v>63</v>
      </c>
      <c r="B14" s="12">
        <v>5.56</v>
      </c>
      <c r="C14" s="13">
        <v>5.4451300994985958</v>
      </c>
      <c r="D14" s="5" t="s">
        <v>92</v>
      </c>
      <c r="E14" s="5" t="s">
        <v>81</v>
      </c>
      <c r="F14" s="12">
        <v>0</v>
      </c>
      <c r="G14" s="5" t="s">
        <v>63</v>
      </c>
      <c r="H14" s="5">
        <v>4</v>
      </c>
      <c r="I14" s="7">
        <v>5.5555555555555554</v>
      </c>
      <c r="J14" s="5" t="s">
        <v>101</v>
      </c>
    </row>
    <row r="15" spans="1:11" ht="16" x14ac:dyDescent="0.2">
      <c r="A15" s="5" t="s">
        <v>61</v>
      </c>
      <c r="B15" s="12" t="s">
        <v>69</v>
      </c>
      <c r="C15" s="13">
        <v>1.3147166340017276</v>
      </c>
      <c r="D15" s="5" t="s">
        <v>91</v>
      </c>
      <c r="E15" s="5" t="s">
        <v>81</v>
      </c>
      <c r="F15" s="12">
        <v>0</v>
      </c>
      <c r="G15" s="5" t="s">
        <v>61</v>
      </c>
      <c r="H15" s="5"/>
      <c r="I15" s="7" t="s">
        <v>69</v>
      </c>
      <c r="J15" s="5"/>
    </row>
    <row r="16" spans="1:11" ht="16" x14ac:dyDescent="0.2">
      <c r="A16" s="5" t="s">
        <v>59</v>
      </c>
      <c r="B16" s="12">
        <v>1.39</v>
      </c>
      <c r="C16" s="13">
        <v>1.3290957239259626</v>
      </c>
      <c r="D16" s="5" t="s">
        <v>32</v>
      </c>
      <c r="E16" s="5" t="s">
        <v>81</v>
      </c>
      <c r="F16" s="12">
        <v>0</v>
      </c>
      <c r="G16" s="5" t="s">
        <v>59</v>
      </c>
      <c r="H16" s="5">
        <v>1</v>
      </c>
      <c r="I16" s="7">
        <v>1.3888888888888888</v>
      </c>
      <c r="J16" s="5" t="s">
        <v>101</v>
      </c>
    </row>
    <row r="17" spans="1:10" ht="16" x14ac:dyDescent="0.2">
      <c r="A17" s="5" t="s">
        <v>60</v>
      </c>
      <c r="B17" s="12">
        <v>2.78</v>
      </c>
      <c r="C17" s="13">
        <v>2.7900396775453999</v>
      </c>
      <c r="D17" s="5" t="s">
        <v>25</v>
      </c>
      <c r="E17" s="5" t="s">
        <v>81</v>
      </c>
      <c r="F17" s="12">
        <v>0</v>
      </c>
      <c r="G17" s="5" t="s">
        <v>60</v>
      </c>
      <c r="H17" s="5">
        <v>2</v>
      </c>
      <c r="I17" s="7">
        <v>2.7777777777777777</v>
      </c>
      <c r="J17" s="5" t="s">
        <v>101</v>
      </c>
    </row>
    <row r="18" spans="1:10" ht="16" x14ac:dyDescent="0.2">
      <c r="A18" s="5" t="s">
        <v>61</v>
      </c>
      <c r="B18" s="12">
        <v>1.39</v>
      </c>
      <c r="C18" s="13">
        <v>1.4606988097547986</v>
      </c>
      <c r="D18" s="5" t="s">
        <v>37</v>
      </c>
      <c r="E18" s="5" t="s">
        <v>81</v>
      </c>
      <c r="F18" s="12">
        <v>0</v>
      </c>
      <c r="G18" s="5" t="s">
        <v>61</v>
      </c>
      <c r="H18" s="5">
        <v>1</v>
      </c>
      <c r="I18" s="7">
        <v>1.3888888888888888</v>
      </c>
      <c r="J18" s="5" t="s">
        <v>101</v>
      </c>
    </row>
    <row r="19" spans="1:10" ht="16" x14ac:dyDescent="0.2">
      <c r="A19" s="5" t="s">
        <v>57</v>
      </c>
      <c r="B19" s="12">
        <v>5.56</v>
      </c>
      <c r="C19" s="24">
        <v>12.311296439233463</v>
      </c>
      <c r="D19" s="5" t="s">
        <v>90</v>
      </c>
      <c r="E19" s="5" t="s">
        <v>81</v>
      </c>
      <c r="F19" s="12">
        <v>0</v>
      </c>
      <c r="G19" s="5" t="s">
        <v>57</v>
      </c>
      <c r="H19" s="5">
        <v>4</v>
      </c>
      <c r="I19" s="7">
        <v>5.5555555555555554</v>
      </c>
      <c r="J19" s="5" t="s">
        <v>101</v>
      </c>
    </row>
    <row r="20" spans="1:10" ht="16" x14ac:dyDescent="0.2">
      <c r="A20" s="5" t="s">
        <v>58</v>
      </c>
      <c r="B20" s="12">
        <v>6.94</v>
      </c>
      <c r="C20" s="24"/>
      <c r="D20" s="5" t="s">
        <v>90</v>
      </c>
      <c r="E20" s="5" t="s">
        <v>81</v>
      </c>
      <c r="F20" s="12">
        <v>0</v>
      </c>
      <c r="G20" s="5" t="s">
        <v>58</v>
      </c>
      <c r="H20" s="5">
        <v>5</v>
      </c>
      <c r="I20" s="7">
        <v>6.9444444444444446</v>
      </c>
      <c r="J20" s="5" t="s">
        <v>101</v>
      </c>
    </row>
    <row r="21" spans="1:10" ht="16" x14ac:dyDescent="0.2">
      <c r="A21" s="5" t="s">
        <v>47</v>
      </c>
      <c r="B21" s="12">
        <v>19.440000000000001</v>
      </c>
      <c r="C21" s="13">
        <v>19.271786590266448</v>
      </c>
      <c r="D21" s="5" t="s">
        <v>16</v>
      </c>
      <c r="E21" s="5" t="s">
        <v>81</v>
      </c>
      <c r="F21" s="12">
        <v>0</v>
      </c>
      <c r="G21" s="5" t="s">
        <v>47</v>
      </c>
      <c r="H21" s="5">
        <v>14</v>
      </c>
      <c r="I21" s="7">
        <v>19.444444444444446</v>
      </c>
      <c r="J21" s="5" t="s">
        <v>101</v>
      </c>
    </row>
    <row r="22" spans="1:10" ht="16" x14ac:dyDescent="0.2">
      <c r="A22" s="5" t="s">
        <v>56</v>
      </c>
      <c r="B22" s="12">
        <v>2.78</v>
      </c>
      <c r="C22" s="13">
        <v>2.7548718909801506</v>
      </c>
      <c r="D22" s="5" t="s">
        <v>89</v>
      </c>
      <c r="E22" s="5" t="s">
        <v>81</v>
      </c>
      <c r="F22" s="12">
        <v>0</v>
      </c>
      <c r="G22" s="5" t="s">
        <v>56</v>
      </c>
      <c r="H22" s="5">
        <v>2</v>
      </c>
      <c r="I22" s="7">
        <v>2.7777777777777777</v>
      </c>
      <c r="J22" s="5" t="s">
        <v>101</v>
      </c>
    </row>
    <row r="23" spans="1:10" ht="16" x14ac:dyDescent="0.2">
      <c r="A23" s="5" t="s">
        <v>53</v>
      </c>
      <c r="B23" s="12">
        <v>1.39</v>
      </c>
      <c r="C23" s="13">
        <v>1.3476824040712816</v>
      </c>
      <c r="D23" s="5" t="s">
        <v>36</v>
      </c>
      <c r="E23" s="5" t="s">
        <v>81</v>
      </c>
      <c r="F23" s="12">
        <v>0</v>
      </c>
      <c r="G23" s="5" t="s">
        <v>53</v>
      </c>
      <c r="H23" s="5">
        <v>1</v>
      </c>
      <c r="I23" s="7">
        <v>1.3888888888888888</v>
      </c>
      <c r="J23" s="5" t="s">
        <v>101</v>
      </c>
    </row>
    <row r="24" spans="1:10" ht="16" x14ac:dyDescent="0.2">
      <c r="A24" s="5" t="s">
        <v>70</v>
      </c>
      <c r="B24" s="12">
        <v>1.39</v>
      </c>
      <c r="C24" s="24">
        <v>8.2834256427599566</v>
      </c>
      <c r="D24" s="5" t="s">
        <v>93</v>
      </c>
      <c r="E24" s="6" t="s">
        <v>8</v>
      </c>
      <c r="F24" s="12">
        <v>1.4226012996914876</v>
      </c>
      <c r="G24" s="5" t="s">
        <v>70</v>
      </c>
      <c r="H24" s="5">
        <v>1</v>
      </c>
      <c r="I24" s="7">
        <v>1.3888888888888888</v>
      </c>
      <c r="J24" s="5" t="s">
        <v>65</v>
      </c>
    </row>
    <row r="25" spans="1:10" ht="16" x14ac:dyDescent="0.2">
      <c r="A25" s="5" t="s">
        <v>72</v>
      </c>
      <c r="B25" s="12">
        <v>1.39</v>
      </c>
      <c r="C25" s="24"/>
      <c r="D25" s="5" t="s">
        <v>93</v>
      </c>
      <c r="E25" s="6" t="s">
        <v>9</v>
      </c>
      <c r="F25" s="12">
        <v>1.3290005486692551</v>
      </c>
      <c r="G25" s="5" t="s">
        <v>72</v>
      </c>
      <c r="H25" s="5">
        <v>1</v>
      </c>
      <c r="I25" s="7">
        <v>1.3888888888888888</v>
      </c>
      <c r="J25" s="5" t="s">
        <v>65</v>
      </c>
    </row>
    <row r="26" spans="1:10" ht="16" x14ac:dyDescent="0.2">
      <c r="A26" s="5" t="s">
        <v>73</v>
      </c>
      <c r="B26" s="12">
        <v>1.39</v>
      </c>
      <c r="C26" s="24"/>
      <c r="D26" s="5" t="s">
        <v>93</v>
      </c>
      <c r="E26" s="6" t="s">
        <v>6</v>
      </c>
      <c r="F26" s="12">
        <v>1.3573791714978491</v>
      </c>
      <c r="G26" s="5" t="s">
        <v>73</v>
      </c>
      <c r="H26" s="5">
        <v>1</v>
      </c>
      <c r="I26" s="7">
        <v>1.3888888888888888</v>
      </c>
      <c r="J26" s="5" t="s">
        <v>65</v>
      </c>
    </row>
    <row r="27" spans="1:10" ht="16" x14ac:dyDescent="0.2">
      <c r="A27" s="5" t="s">
        <v>75</v>
      </c>
      <c r="B27" s="12">
        <v>1.39</v>
      </c>
      <c r="C27" s="24"/>
      <c r="D27" s="5" t="s">
        <v>93</v>
      </c>
      <c r="E27" s="6" t="s">
        <v>10</v>
      </c>
      <c r="F27" s="12">
        <v>1.4072852530385593</v>
      </c>
      <c r="G27" s="5" t="s">
        <v>75</v>
      </c>
      <c r="H27" s="5">
        <v>1</v>
      </c>
      <c r="I27" s="7">
        <v>1.3888888888888888</v>
      </c>
      <c r="J27" s="5" t="s">
        <v>65</v>
      </c>
    </row>
    <row r="28" spans="1:10" ht="16" x14ac:dyDescent="0.2">
      <c r="A28" s="5" t="s">
        <v>104</v>
      </c>
      <c r="B28" s="12">
        <v>1.39</v>
      </c>
      <c r="C28" s="24"/>
      <c r="D28" s="5" t="s">
        <v>93</v>
      </c>
      <c r="E28" s="6" t="s">
        <v>12</v>
      </c>
      <c r="F28" s="12">
        <v>1.4061365401381365</v>
      </c>
      <c r="G28" s="5" t="s">
        <v>76</v>
      </c>
      <c r="H28" s="5">
        <v>1</v>
      </c>
      <c r="I28" s="7">
        <v>1.3888888888888888</v>
      </c>
      <c r="J28" s="5" t="s">
        <v>65</v>
      </c>
    </row>
    <row r="29" spans="1:10" ht="14.25" customHeight="1" x14ac:dyDescent="0.2">
      <c r="A29" s="5" t="s">
        <v>79</v>
      </c>
      <c r="B29" s="12">
        <v>1.39</v>
      </c>
      <c r="C29" s="24"/>
      <c r="D29" s="5" t="s">
        <v>93</v>
      </c>
      <c r="E29" s="5" t="s">
        <v>81</v>
      </c>
      <c r="F29" s="12">
        <v>0</v>
      </c>
      <c r="G29" s="5" t="s">
        <v>79</v>
      </c>
      <c r="H29" s="5">
        <v>1</v>
      </c>
      <c r="I29" s="7">
        <v>1.3888888888888888</v>
      </c>
      <c r="J29" s="5" t="s">
        <v>65</v>
      </c>
    </row>
    <row r="30" spans="1:10" ht="16" x14ac:dyDescent="0.2">
      <c r="A30" s="5" t="s">
        <v>71</v>
      </c>
      <c r="B30" s="12">
        <v>1.39</v>
      </c>
      <c r="C30" s="24">
        <v>4.1874950304035909</v>
      </c>
      <c r="D30" s="5" t="s">
        <v>94</v>
      </c>
      <c r="E30" s="6" t="s">
        <v>11</v>
      </c>
      <c r="F30" s="12">
        <v>1.4026851361579562</v>
      </c>
      <c r="G30" s="5" t="s">
        <v>71</v>
      </c>
      <c r="H30" s="5">
        <v>1</v>
      </c>
      <c r="I30" s="7">
        <v>1.3888888888888888</v>
      </c>
      <c r="J30" s="5" t="s">
        <v>65</v>
      </c>
    </row>
    <row r="31" spans="1:10" ht="16" x14ac:dyDescent="0.2">
      <c r="A31" s="5" t="s">
        <v>74</v>
      </c>
      <c r="B31" s="12">
        <v>1.39</v>
      </c>
      <c r="C31" s="24"/>
      <c r="D31" s="5" t="s">
        <v>94</v>
      </c>
      <c r="E31" s="6" t="s">
        <v>13</v>
      </c>
      <c r="F31" s="12">
        <v>1.3591498148874466</v>
      </c>
      <c r="G31" s="5" t="s">
        <v>74</v>
      </c>
      <c r="H31" s="5">
        <v>1</v>
      </c>
      <c r="I31" s="7">
        <v>1.3888888888888888</v>
      </c>
      <c r="J31" s="5" t="s">
        <v>65</v>
      </c>
    </row>
    <row r="32" spans="1:10" ht="16" x14ac:dyDescent="0.2">
      <c r="A32" s="5" t="s">
        <v>80</v>
      </c>
      <c r="B32" s="12">
        <v>1.39</v>
      </c>
      <c r="C32" s="24"/>
      <c r="D32" s="5" t="s">
        <v>94</v>
      </c>
      <c r="E32" s="6" t="s">
        <v>7</v>
      </c>
      <c r="F32" s="12">
        <v>1.4256600793581884</v>
      </c>
      <c r="G32" s="5" t="s">
        <v>80</v>
      </c>
      <c r="H32" s="5">
        <v>1</v>
      </c>
      <c r="I32" s="7">
        <v>1.3888888888888888</v>
      </c>
      <c r="J32" s="5" t="s">
        <v>65</v>
      </c>
    </row>
    <row r="33" spans="1:10" ht="16" x14ac:dyDescent="0.2">
      <c r="A33" s="5" t="s">
        <v>50</v>
      </c>
      <c r="B33" s="12">
        <v>1.39</v>
      </c>
      <c r="C33" s="13">
        <v>1.4258413308370108</v>
      </c>
      <c r="D33" s="5" t="s">
        <v>85</v>
      </c>
      <c r="E33" s="5" t="s">
        <v>81</v>
      </c>
      <c r="F33" s="12">
        <v>0</v>
      </c>
      <c r="G33" s="5" t="s">
        <v>50</v>
      </c>
      <c r="H33" s="5">
        <v>1</v>
      </c>
      <c r="I33" s="7">
        <v>1.3888888888888888</v>
      </c>
      <c r="J33" s="5" t="s">
        <v>101</v>
      </c>
    </row>
    <row r="34" spans="1:10" ht="16" x14ac:dyDescent="0.2">
      <c r="A34" s="5" t="s">
        <v>77</v>
      </c>
      <c r="B34" s="12">
        <v>1.39</v>
      </c>
      <c r="C34" s="24">
        <v>2.6986487280262073</v>
      </c>
      <c r="D34" s="5" t="s">
        <v>95</v>
      </c>
      <c r="E34" s="5" t="s">
        <v>81</v>
      </c>
      <c r="F34" s="12">
        <v>0</v>
      </c>
      <c r="G34" s="5" t="s">
        <v>77</v>
      </c>
      <c r="H34" s="5">
        <v>1</v>
      </c>
      <c r="I34" s="7">
        <v>1.3888888888888888</v>
      </c>
      <c r="J34" s="5" t="s">
        <v>65</v>
      </c>
    </row>
    <row r="35" spans="1:10" ht="16" x14ac:dyDescent="0.2">
      <c r="A35" s="5" t="s">
        <v>78</v>
      </c>
      <c r="B35" s="12">
        <v>1.39</v>
      </c>
      <c r="C35" s="24"/>
      <c r="D35" s="5" t="s">
        <v>95</v>
      </c>
      <c r="E35" s="5" t="s">
        <v>81</v>
      </c>
      <c r="F35" s="12">
        <v>0</v>
      </c>
      <c r="G35" s="5" t="s">
        <v>78</v>
      </c>
      <c r="H35" s="5">
        <v>1</v>
      </c>
      <c r="I35" s="7">
        <v>1.3888888888888888</v>
      </c>
      <c r="J35" s="5" t="s">
        <v>65</v>
      </c>
    </row>
    <row r="36" spans="1:10" ht="16" x14ac:dyDescent="0.2">
      <c r="A36" s="5" t="s">
        <v>44</v>
      </c>
      <c r="B36" s="12">
        <v>1.39</v>
      </c>
      <c r="C36" s="13">
        <v>1.434215497538232</v>
      </c>
      <c r="D36" s="5" t="s">
        <v>39</v>
      </c>
      <c r="E36" s="5" t="s">
        <v>81</v>
      </c>
      <c r="F36" s="12">
        <v>0</v>
      </c>
      <c r="G36" s="5" t="s">
        <v>44</v>
      </c>
      <c r="H36" s="5">
        <v>1</v>
      </c>
      <c r="I36" s="7">
        <v>1.3888888888888888</v>
      </c>
      <c r="J36" s="5" t="s">
        <v>101</v>
      </c>
    </row>
    <row r="37" spans="1:10" ht="16" x14ac:dyDescent="0.2">
      <c r="A37" s="5" t="s">
        <v>55</v>
      </c>
      <c r="B37" s="12">
        <v>4.17</v>
      </c>
      <c r="C37" s="13">
        <v>4.0682427016813598</v>
      </c>
      <c r="D37" s="5" t="s">
        <v>88</v>
      </c>
      <c r="E37" s="5" t="s">
        <v>81</v>
      </c>
      <c r="F37" s="12">
        <v>0</v>
      </c>
      <c r="G37" s="5" t="s">
        <v>55</v>
      </c>
      <c r="H37" s="5">
        <v>3</v>
      </c>
      <c r="I37" s="7">
        <v>4.1666666666666661</v>
      </c>
      <c r="J37" s="5" t="s">
        <v>101</v>
      </c>
    </row>
  </sheetData>
  <mergeCells count="5">
    <mergeCell ref="C19:C20"/>
    <mergeCell ref="C24:C29"/>
    <mergeCell ref="C30:C32"/>
    <mergeCell ref="C34:C35"/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F714-6786-4B57-B60E-AA3978CDA26F}">
  <dimension ref="A1:AK44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cols>
    <col min="35" max="35" width="16.1640625" customWidth="1"/>
    <col min="36" max="36" width="18.33203125" customWidth="1"/>
    <col min="37" max="37" width="24.1640625" customWidth="1"/>
  </cols>
  <sheetData>
    <row r="1" spans="1:37" x14ac:dyDescent="0.2">
      <c r="A1" s="4" t="s">
        <v>306</v>
      </c>
    </row>
    <row r="3" spans="1:37" x14ac:dyDescent="0.2">
      <c r="A3" s="28" t="s">
        <v>275</v>
      </c>
      <c r="B3" s="26"/>
      <c r="C3" s="26"/>
      <c r="D3" s="26"/>
      <c r="E3" s="26"/>
      <c r="F3" s="26"/>
      <c r="G3" s="26"/>
      <c r="H3" s="26"/>
      <c r="I3" s="27"/>
      <c r="J3" s="28" t="s">
        <v>280</v>
      </c>
      <c r="K3" s="27"/>
      <c r="L3" s="26" t="s">
        <v>276</v>
      </c>
      <c r="M3" s="26"/>
      <c r="N3" s="26"/>
      <c r="O3" s="26"/>
      <c r="P3" s="26"/>
      <c r="Q3" s="26"/>
      <c r="R3" s="26"/>
      <c r="S3" s="26"/>
      <c r="T3" s="26"/>
      <c r="U3" s="27"/>
      <c r="V3" s="28" t="s">
        <v>277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7"/>
      <c r="AI3" s="25" t="s">
        <v>294</v>
      </c>
      <c r="AJ3" s="26"/>
      <c r="AK3" s="27"/>
    </row>
    <row r="4" spans="1:37" x14ac:dyDescent="0.2">
      <c r="A4" s="20" t="s">
        <v>273</v>
      </c>
      <c r="B4" s="21" t="s">
        <v>125</v>
      </c>
      <c r="C4" s="21" t="s">
        <v>126</v>
      </c>
      <c r="D4" s="21" t="s">
        <v>127</v>
      </c>
      <c r="E4" s="21" t="s">
        <v>128</v>
      </c>
      <c r="F4" s="21" t="s">
        <v>129</v>
      </c>
      <c r="G4" s="21" t="s">
        <v>130</v>
      </c>
      <c r="H4" s="21" t="s">
        <v>131</v>
      </c>
      <c r="I4" s="22" t="s">
        <v>274</v>
      </c>
      <c r="J4" s="20" t="s">
        <v>286</v>
      </c>
      <c r="K4" s="22" t="s">
        <v>287</v>
      </c>
      <c r="L4" s="21" t="s">
        <v>115</v>
      </c>
      <c r="M4" s="21" t="s">
        <v>116</v>
      </c>
      <c r="N4" s="21" t="s">
        <v>117</v>
      </c>
      <c r="O4" s="21" t="s">
        <v>118</v>
      </c>
      <c r="P4" s="21" t="s">
        <v>119</v>
      </c>
      <c r="Q4" s="21" t="s">
        <v>120</v>
      </c>
      <c r="R4" s="21" t="s">
        <v>121</v>
      </c>
      <c r="S4" s="21" t="s">
        <v>122</v>
      </c>
      <c r="T4" s="21" t="s">
        <v>123</v>
      </c>
      <c r="U4" s="22" t="s">
        <v>124</v>
      </c>
      <c r="V4" s="20" t="s">
        <v>132</v>
      </c>
      <c r="W4" s="21" t="s">
        <v>133</v>
      </c>
      <c r="X4" s="21" t="s">
        <v>134</v>
      </c>
      <c r="Y4" s="21" t="s">
        <v>135</v>
      </c>
      <c r="Z4" s="21" t="s">
        <v>136</v>
      </c>
      <c r="AA4" s="21" t="s">
        <v>137</v>
      </c>
      <c r="AB4" s="21" t="s">
        <v>138</v>
      </c>
      <c r="AC4" s="21" t="s">
        <v>139</v>
      </c>
      <c r="AD4" s="21" t="s">
        <v>140</v>
      </c>
      <c r="AE4" s="21" t="s">
        <v>141</v>
      </c>
      <c r="AF4" s="21" t="s">
        <v>142</v>
      </c>
      <c r="AG4" s="21" t="s">
        <v>143</v>
      </c>
      <c r="AH4" s="22" t="s">
        <v>144</v>
      </c>
      <c r="AI4" s="20" t="s">
        <v>288</v>
      </c>
      <c r="AJ4" s="21" t="s">
        <v>289</v>
      </c>
      <c r="AK4" s="22" t="s">
        <v>290</v>
      </c>
    </row>
    <row r="5" spans="1:37" x14ac:dyDescent="0.2">
      <c r="A5" s="18" t="s">
        <v>145</v>
      </c>
      <c r="B5" t="s">
        <v>147</v>
      </c>
      <c r="C5">
        <v>0</v>
      </c>
      <c r="D5" t="s">
        <v>148</v>
      </c>
      <c r="E5">
        <v>0</v>
      </c>
      <c r="F5">
        <v>1</v>
      </c>
      <c r="G5">
        <v>930</v>
      </c>
      <c r="H5">
        <v>1</v>
      </c>
      <c r="I5" s="19" t="s">
        <v>149</v>
      </c>
      <c r="J5" s="18">
        <v>0</v>
      </c>
      <c r="K5" s="19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146</v>
      </c>
      <c r="U5" s="19" t="s">
        <v>146</v>
      </c>
      <c r="V5" s="18">
        <v>8.9138109541566299E-2</v>
      </c>
      <c r="W5">
        <v>0</v>
      </c>
      <c r="X5">
        <v>5.1474010688602301E-2</v>
      </c>
      <c r="Y5">
        <v>0</v>
      </c>
      <c r="Z5">
        <v>0</v>
      </c>
      <c r="AA5">
        <v>0</v>
      </c>
      <c r="AB5">
        <v>9.4798162992679007E-3</v>
      </c>
      <c r="AC5">
        <v>0</v>
      </c>
      <c r="AD5">
        <v>2.8192014867153899E-2</v>
      </c>
      <c r="AE5">
        <v>0</v>
      </c>
      <c r="AF5">
        <v>0</v>
      </c>
      <c r="AG5">
        <v>0</v>
      </c>
      <c r="AH5" s="19">
        <v>0</v>
      </c>
      <c r="AI5" s="18" t="s">
        <v>291</v>
      </c>
      <c r="AJ5" t="s">
        <v>291</v>
      </c>
      <c r="AK5" s="19" t="s">
        <v>291</v>
      </c>
    </row>
    <row r="6" spans="1:37" x14ac:dyDescent="0.2">
      <c r="A6" s="18" t="s">
        <v>150</v>
      </c>
      <c r="B6" t="s">
        <v>153</v>
      </c>
      <c r="C6">
        <v>0</v>
      </c>
      <c r="D6" t="s">
        <v>148</v>
      </c>
      <c r="E6">
        <v>0</v>
      </c>
      <c r="F6">
        <v>0</v>
      </c>
      <c r="G6">
        <v>1100</v>
      </c>
      <c r="H6">
        <v>0</v>
      </c>
      <c r="I6" s="19" t="s">
        <v>155</v>
      </c>
      <c r="J6" s="18">
        <v>79</v>
      </c>
      <c r="K6" s="19">
        <v>179</v>
      </c>
      <c r="L6">
        <v>0</v>
      </c>
      <c r="M6">
        <v>0</v>
      </c>
      <c r="N6">
        <v>0</v>
      </c>
      <c r="O6">
        <v>0</v>
      </c>
      <c r="P6">
        <v>25.4166666666667</v>
      </c>
      <c r="Q6">
        <v>0</v>
      </c>
      <c r="R6">
        <v>0</v>
      </c>
      <c r="S6">
        <v>0</v>
      </c>
      <c r="T6" t="s">
        <v>151</v>
      </c>
      <c r="U6" s="19" t="s">
        <v>152</v>
      </c>
      <c r="V6" s="18">
        <v>54.445673347109199</v>
      </c>
      <c r="W6">
        <v>0</v>
      </c>
      <c r="X6">
        <v>2.6050365971112099E-2</v>
      </c>
      <c r="Y6">
        <v>4.9086523606015004E-3</v>
      </c>
      <c r="Z6">
        <v>2.1860052980354702E-2</v>
      </c>
      <c r="AA6">
        <v>5.9227785297931998E-3</v>
      </c>
      <c r="AB6">
        <v>35.935145295280698</v>
      </c>
      <c r="AC6">
        <v>5.4882536364659902E-2</v>
      </c>
      <c r="AD6">
        <v>18.344063466681401</v>
      </c>
      <c r="AE6">
        <v>3.1536506844725601E-2</v>
      </c>
      <c r="AF6">
        <v>0</v>
      </c>
      <c r="AG6">
        <v>2.1310734638709201E-2</v>
      </c>
      <c r="AH6" s="19">
        <v>0</v>
      </c>
      <c r="AI6" s="18" t="s">
        <v>40</v>
      </c>
      <c r="AJ6" t="s">
        <v>292</v>
      </c>
      <c r="AK6" s="19" t="s">
        <v>293</v>
      </c>
    </row>
    <row r="7" spans="1:37" x14ac:dyDescent="0.2">
      <c r="A7" s="18" t="s">
        <v>156</v>
      </c>
      <c r="B7" t="s">
        <v>157</v>
      </c>
      <c r="C7">
        <v>0</v>
      </c>
      <c r="D7" t="s">
        <v>148</v>
      </c>
      <c r="E7">
        <v>0</v>
      </c>
      <c r="F7">
        <v>0</v>
      </c>
      <c r="G7">
        <v>1480</v>
      </c>
      <c r="H7">
        <v>0</v>
      </c>
      <c r="I7" s="19" t="s">
        <v>158</v>
      </c>
      <c r="J7" s="18">
        <v>0</v>
      </c>
      <c r="K7" s="19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146</v>
      </c>
      <c r="U7" s="19" t="s">
        <v>146</v>
      </c>
      <c r="V7" s="18">
        <v>4.6858793518779196</v>
      </c>
      <c r="W7">
        <v>0</v>
      </c>
      <c r="X7">
        <v>0</v>
      </c>
      <c r="Y7">
        <v>0</v>
      </c>
      <c r="Z7">
        <v>0</v>
      </c>
      <c r="AA7">
        <v>0</v>
      </c>
      <c r="AB7">
        <v>1.3965544143409001E-3</v>
      </c>
      <c r="AC7">
        <v>0</v>
      </c>
      <c r="AD7">
        <v>1.03331913474238E-2</v>
      </c>
      <c r="AE7">
        <v>3.8487203813057E-3</v>
      </c>
      <c r="AF7">
        <v>0</v>
      </c>
      <c r="AG7">
        <v>0</v>
      </c>
      <c r="AH7" s="19">
        <v>4.67030088573485</v>
      </c>
      <c r="AI7" s="18" t="s">
        <v>291</v>
      </c>
      <c r="AJ7" t="s">
        <v>291</v>
      </c>
      <c r="AK7" s="19" t="s">
        <v>291</v>
      </c>
    </row>
    <row r="8" spans="1:37" x14ac:dyDescent="0.2">
      <c r="A8" s="18" t="s">
        <v>159</v>
      </c>
      <c r="B8" t="s">
        <v>160</v>
      </c>
      <c r="C8">
        <v>0</v>
      </c>
      <c r="D8" t="s">
        <v>148</v>
      </c>
      <c r="E8">
        <v>0</v>
      </c>
      <c r="F8">
        <v>1</v>
      </c>
      <c r="G8">
        <v>540</v>
      </c>
      <c r="H8">
        <v>1</v>
      </c>
      <c r="I8" s="19" t="s">
        <v>161</v>
      </c>
      <c r="J8" s="18">
        <v>0</v>
      </c>
      <c r="K8" s="19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146</v>
      </c>
      <c r="U8" s="19" t="s">
        <v>146</v>
      </c>
      <c r="V8" s="18">
        <v>1.22906990183615E-2</v>
      </c>
      <c r="W8">
        <v>0</v>
      </c>
      <c r="X8">
        <v>0</v>
      </c>
      <c r="Y8">
        <v>0</v>
      </c>
      <c r="Z8">
        <v>0</v>
      </c>
      <c r="AA8">
        <v>0</v>
      </c>
      <c r="AB8">
        <v>2.4931878112424001E-3</v>
      </c>
      <c r="AC8">
        <v>0</v>
      </c>
      <c r="AD8">
        <v>9.7975112071190008E-3</v>
      </c>
      <c r="AE8">
        <v>0</v>
      </c>
      <c r="AF8">
        <v>0</v>
      </c>
      <c r="AG8">
        <v>0</v>
      </c>
      <c r="AH8" s="19">
        <v>0</v>
      </c>
      <c r="AI8" s="18" t="s">
        <v>291</v>
      </c>
      <c r="AJ8" t="s">
        <v>291</v>
      </c>
      <c r="AK8" s="19" t="s">
        <v>291</v>
      </c>
    </row>
    <row r="9" spans="1:37" x14ac:dyDescent="0.2">
      <c r="A9" s="18" t="s">
        <v>162</v>
      </c>
      <c r="B9" t="s">
        <v>164</v>
      </c>
      <c r="C9">
        <v>0</v>
      </c>
      <c r="D9" t="s">
        <v>148</v>
      </c>
      <c r="E9">
        <v>0</v>
      </c>
      <c r="F9">
        <v>0</v>
      </c>
      <c r="G9">
        <v>1100</v>
      </c>
      <c r="H9">
        <v>0</v>
      </c>
      <c r="I9" s="19" t="s">
        <v>165</v>
      </c>
      <c r="J9" s="18">
        <v>796</v>
      </c>
      <c r="K9" s="1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5.2715654952076703</v>
      </c>
      <c r="T9" t="s">
        <v>151</v>
      </c>
      <c r="U9" s="19" t="s">
        <v>163</v>
      </c>
      <c r="V9" s="18">
        <v>46.708485400647298</v>
      </c>
      <c r="W9">
        <v>0</v>
      </c>
      <c r="X9">
        <v>2.6513242520109E-3</v>
      </c>
      <c r="Y9">
        <v>0</v>
      </c>
      <c r="Z9">
        <v>3.8505386059974E-3</v>
      </c>
      <c r="AA9">
        <v>1.0768455423551999E-3</v>
      </c>
      <c r="AB9">
        <v>14.784085872281899</v>
      </c>
      <c r="AC9">
        <v>5.2047534547168999E-3</v>
      </c>
      <c r="AD9">
        <v>31.894280484862598</v>
      </c>
      <c r="AE9">
        <v>1.5165574721502701E-2</v>
      </c>
      <c r="AF9">
        <v>0</v>
      </c>
      <c r="AG9">
        <v>1.3297410863931001E-3</v>
      </c>
      <c r="AH9" s="19">
        <v>8.3210791909259999E-4</v>
      </c>
      <c r="AI9" s="18" t="s">
        <v>292</v>
      </c>
      <c r="AJ9" t="s">
        <v>293</v>
      </c>
      <c r="AK9" s="19" t="s">
        <v>40</v>
      </c>
    </row>
    <row r="10" spans="1:37" x14ac:dyDescent="0.2">
      <c r="A10" s="18" t="s">
        <v>166</v>
      </c>
      <c r="B10" t="s">
        <v>167</v>
      </c>
      <c r="C10">
        <v>0</v>
      </c>
      <c r="D10" t="s">
        <v>148</v>
      </c>
      <c r="E10">
        <v>0</v>
      </c>
      <c r="F10">
        <v>1</v>
      </c>
      <c r="G10">
        <v>925</v>
      </c>
      <c r="H10">
        <v>0</v>
      </c>
      <c r="I10" s="19" t="s">
        <v>168</v>
      </c>
      <c r="J10" s="18">
        <v>0</v>
      </c>
      <c r="K10" s="19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146</v>
      </c>
      <c r="U10" s="19" t="s">
        <v>146</v>
      </c>
      <c r="V10" s="18">
        <v>1.11244498513821E-2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6.1638458035196001E-3</v>
      </c>
      <c r="AE10">
        <v>0</v>
      </c>
      <c r="AF10">
        <v>0</v>
      </c>
      <c r="AG10">
        <v>0</v>
      </c>
      <c r="AH10" s="19">
        <v>4.9606040478625E-3</v>
      </c>
      <c r="AI10" s="18" t="s">
        <v>291</v>
      </c>
      <c r="AJ10" t="s">
        <v>291</v>
      </c>
      <c r="AK10" s="19" t="s">
        <v>291</v>
      </c>
    </row>
    <row r="11" spans="1:37" x14ac:dyDescent="0.2">
      <c r="A11" s="18" t="s">
        <v>169</v>
      </c>
      <c r="B11" t="s">
        <v>170</v>
      </c>
      <c r="C11">
        <v>1</v>
      </c>
      <c r="D11">
        <v>19</v>
      </c>
      <c r="E11">
        <v>1</v>
      </c>
      <c r="F11">
        <v>0</v>
      </c>
      <c r="G11">
        <v>1057</v>
      </c>
      <c r="H11">
        <v>0</v>
      </c>
      <c r="I11" s="19" t="s">
        <v>171</v>
      </c>
      <c r="J11" s="18">
        <v>0</v>
      </c>
      <c r="K11" s="19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146</v>
      </c>
      <c r="U11" s="19" t="s">
        <v>146</v>
      </c>
      <c r="V11" s="18">
        <v>1.0884813731165999E-2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1.0884813731165999E-2</v>
      </c>
      <c r="AE11">
        <v>0</v>
      </c>
      <c r="AF11">
        <v>0</v>
      </c>
      <c r="AG11">
        <v>0</v>
      </c>
      <c r="AH11" s="19">
        <v>0</v>
      </c>
      <c r="AI11" s="18" t="s">
        <v>291</v>
      </c>
      <c r="AJ11" t="s">
        <v>291</v>
      </c>
      <c r="AK11" s="19" t="s">
        <v>291</v>
      </c>
    </row>
    <row r="12" spans="1:37" x14ac:dyDescent="0.2">
      <c r="A12" s="18" t="s">
        <v>172</v>
      </c>
      <c r="B12" t="s">
        <v>173</v>
      </c>
      <c r="C12">
        <v>1</v>
      </c>
      <c r="D12">
        <v>19</v>
      </c>
      <c r="E12">
        <v>1</v>
      </c>
      <c r="F12">
        <v>0</v>
      </c>
      <c r="G12">
        <v>1057</v>
      </c>
      <c r="H12">
        <v>0</v>
      </c>
      <c r="I12" s="19" t="s">
        <v>174</v>
      </c>
      <c r="J12" s="18">
        <v>0</v>
      </c>
      <c r="K12" s="19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146</v>
      </c>
      <c r="U12" s="19" t="s">
        <v>146</v>
      </c>
      <c r="V12" s="18">
        <v>3.7308674810105302E-2</v>
      </c>
      <c r="W12">
        <v>0</v>
      </c>
      <c r="X12">
        <v>3.8991538067046998E-3</v>
      </c>
      <c r="Y12">
        <v>0</v>
      </c>
      <c r="Z12">
        <v>0</v>
      </c>
      <c r="AA12">
        <v>0</v>
      </c>
      <c r="AB12">
        <v>1.3138612076626E-2</v>
      </c>
      <c r="AC12">
        <v>0</v>
      </c>
      <c r="AD12">
        <v>2.8789791868439898E-2</v>
      </c>
      <c r="AE12">
        <v>0</v>
      </c>
      <c r="AF12">
        <v>0</v>
      </c>
      <c r="AG12">
        <v>0</v>
      </c>
      <c r="AH12" s="19">
        <v>0</v>
      </c>
      <c r="AI12" s="18" t="s">
        <v>291</v>
      </c>
      <c r="AJ12" t="s">
        <v>291</v>
      </c>
      <c r="AK12" s="19" t="s">
        <v>291</v>
      </c>
    </row>
    <row r="13" spans="1:37" x14ac:dyDescent="0.2">
      <c r="A13" s="18" t="s">
        <v>175</v>
      </c>
      <c r="B13" t="s">
        <v>176</v>
      </c>
      <c r="C13">
        <v>0</v>
      </c>
      <c r="D13" t="s">
        <v>148</v>
      </c>
      <c r="E13">
        <v>0</v>
      </c>
      <c r="F13">
        <v>1</v>
      </c>
      <c r="G13">
        <v>920</v>
      </c>
      <c r="H13">
        <v>0</v>
      </c>
      <c r="I13" s="19" t="s">
        <v>177</v>
      </c>
      <c r="J13" s="18">
        <v>0</v>
      </c>
      <c r="K13" s="19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146</v>
      </c>
      <c r="U13" s="19" t="s">
        <v>146</v>
      </c>
      <c r="V13" s="18">
        <v>2.64671718846002E-2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2.64671718846002E-2</v>
      </c>
      <c r="AE13">
        <v>0</v>
      </c>
      <c r="AF13">
        <v>0</v>
      </c>
      <c r="AG13">
        <v>0</v>
      </c>
      <c r="AH13" s="19">
        <v>0</v>
      </c>
      <c r="AI13" s="18" t="s">
        <v>291</v>
      </c>
      <c r="AJ13" t="s">
        <v>291</v>
      </c>
      <c r="AK13" s="19" t="s">
        <v>291</v>
      </c>
    </row>
    <row r="14" spans="1:37" x14ac:dyDescent="0.2">
      <c r="A14" s="18" t="s">
        <v>178</v>
      </c>
      <c r="B14" t="s">
        <v>179</v>
      </c>
      <c r="C14">
        <v>0</v>
      </c>
      <c r="D14" t="s">
        <v>148</v>
      </c>
      <c r="E14">
        <v>0</v>
      </c>
      <c r="F14">
        <v>1</v>
      </c>
      <c r="G14">
        <v>1060</v>
      </c>
      <c r="H14">
        <v>0</v>
      </c>
      <c r="I14" s="19" t="s">
        <v>180</v>
      </c>
      <c r="J14" s="18">
        <v>0</v>
      </c>
      <c r="K14" s="19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146</v>
      </c>
      <c r="U14" s="19" t="s">
        <v>146</v>
      </c>
      <c r="V14" s="18">
        <v>27.0779791889587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26.851303497899998</v>
      </c>
      <c r="AE14">
        <v>6.6792632992602003E-3</v>
      </c>
      <c r="AF14">
        <v>0</v>
      </c>
      <c r="AG14">
        <v>0</v>
      </c>
      <c r="AH14" s="19">
        <v>0.21999642775940001</v>
      </c>
      <c r="AI14" s="18" t="s">
        <v>291</v>
      </c>
      <c r="AJ14" t="s">
        <v>291</v>
      </c>
      <c r="AK14" s="19" t="s">
        <v>291</v>
      </c>
    </row>
    <row r="15" spans="1:37" x14ac:dyDescent="0.2">
      <c r="A15" s="18" t="s">
        <v>181</v>
      </c>
      <c r="B15" t="s">
        <v>182</v>
      </c>
      <c r="C15">
        <v>1</v>
      </c>
      <c r="D15">
        <v>25</v>
      </c>
      <c r="E15">
        <v>1</v>
      </c>
      <c r="F15">
        <v>0</v>
      </c>
      <c r="G15">
        <v>510</v>
      </c>
      <c r="H15">
        <v>1</v>
      </c>
      <c r="I15" s="19" t="s">
        <v>183</v>
      </c>
      <c r="J15" s="18">
        <v>0</v>
      </c>
      <c r="K15" s="19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146</v>
      </c>
      <c r="U15" s="19" t="s">
        <v>146</v>
      </c>
      <c r="V15" s="18">
        <v>1.7810470950655601E-2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1.7810470950655601E-2</v>
      </c>
      <c r="AE15">
        <v>0</v>
      </c>
      <c r="AF15">
        <v>0</v>
      </c>
      <c r="AG15">
        <v>0</v>
      </c>
      <c r="AH15" s="19">
        <v>0</v>
      </c>
      <c r="AI15" s="18" t="s">
        <v>291</v>
      </c>
      <c r="AJ15" t="s">
        <v>291</v>
      </c>
      <c r="AK15" s="19" t="s">
        <v>291</v>
      </c>
    </row>
    <row r="16" spans="1:37" x14ac:dyDescent="0.2">
      <c r="A16" s="18" t="s">
        <v>184</v>
      </c>
      <c r="B16" t="s">
        <v>185</v>
      </c>
      <c r="C16">
        <v>0</v>
      </c>
      <c r="D16" t="s">
        <v>148</v>
      </c>
      <c r="E16">
        <v>0</v>
      </c>
      <c r="F16">
        <v>1</v>
      </c>
      <c r="G16">
        <v>920</v>
      </c>
      <c r="H16">
        <v>0</v>
      </c>
      <c r="I16" s="19" t="s">
        <v>186</v>
      </c>
      <c r="J16" s="18">
        <v>0</v>
      </c>
      <c r="K16" s="19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146</v>
      </c>
      <c r="U16" s="19" t="s">
        <v>146</v>
      </c>
      <c r="V16" s="18">
        <v>0.12466973405642499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7.4328637098572004E-3</v>
      </c>
      <c r="AE16">
        <v>0</v>
      </c>
      <c r="AF16">
        <v>0</v>
      </c>
      <c r="AG16">
        <v>0</v>
      </c>
      <c r="AH16" s="19">
        <v>0.117236870346568</v>
      </c>
      <c r="AI16" s="18" t="s">
        <v>291</v>
      </c>
      <c r="AJ16" t="s">
        <v>291</v>
      </c>
      <c r="AK16" s="19" t="s">
        <v>291</v>
      </c>
    </row>
    <row r="17" spans="1:37" x14ac:dyDescent="0.2">
      <c r="A17" s="18" t="s">
        <v>187</v>
      </c>
      <c r="B17" t="s">
        <v>188</v>
      </c>
      <c r="C17">
        <v>0</v>
      </c>
      <c r="D17" t="s">
        <v>148</v>
      </c>
      <c r="E17">
        <v>0</v>
      </c>
      <c r="F17">
        <v>1</v>
      </c>
      <c r="G17">
        <v>1060</v>
      </c>
      <c r="H17">
        <v>0</v>
      </c>
      <c r="I17" s="19" t="s">
        <v>189</v>
      </c>
      <c r="J17" s="18">
        <v>0</v>
      </c>
      <c r="K17" s="19">
        <v>222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146</v>
      </c>
      <c r="U17" s="19" t="s">
        <v>146</v>
      </c>
      <c r="V17" s="18">
        <v>10.268275978032801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7.5781594505439295E-2</v>
      </c>
      <c r="AE17">
        <v>1.2089551627482999E-3</v>
      </c>
      <c r="AF17">
        <v>0</v>
      </c>
      <c r="AG17">
        <v>0</v>
      </c>
      <c r="AH17" s="19">
        <v>10.191285428364599</v>
      </c>
      <c r="AI17" s="18" t="s">
        <v>291</v>
      </c>
      <c r="AJ17" t="s">
        <v>291</v>
      </c>
      <c r="AK17" s="19" t="s">
        <v>291</v>
      </c>
    </row>
    <row r="18" spans="1:37" x14ac:dyDescent="0.2">
      <c r="A18" s="18" t="s">
        <v>190</v>
      </c>
      <c r="B18" t="s">
        <v>191</v>
      </c>
      <c r="C18">
        <v>0</v>
      </c>
      <c r="D18" t="s">
        <v>148</v>
      </c>
      <c r="E18">
        <v>0</v>
      </c>
      <c r="F18">
        <v>0</v>
      </c>
      <c r="G18">
        <v>864</v>
      </c>
      <c r="H18">
        <v>0</v>
      </c>
      <c r="I18" s="19" t="s">
        <v>192</v>
      </c>
      <c r="J18" s="18">
        <v>0</v>
      </c>
      <c r="K18" s="19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146</v>
      </c>
      <c r="U18" s="19" t="s">
        <v>146</v>
      </c>
      <c r="V18" s="18">
        <v>7.7221666036348502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7.7172144807912302</v>
      </c>
      <c r="AE18">
        <v>4.9521228436135998E-3</v>
      </c>
      <c r="AF18">
        <v>0</v>
      </c>
      <c r="AG18">
        <v>0</v>
      </c>
      <c r="AH18" s="19">
        <v>0</v>
      </c>
      <c r="AI18" s="18" t="s">
        <v>291</v>
      </c>
      <c r="AJ18" t="s">
        <v>291</v>
      </c>
      <c r="AK18" s="19" t="s">
        <v>291</v>
      </c>
    </row>
    <row r="19" spans="1:37" x14ac:dyDescent="0.2">
      <c r="A19" s="18" t="s">
        <v>193</v>
      </c>
      <c r="B19" t="s">
        <v>194</v>
      </c>
      <c r="C19">
        <v>1</v>
      </c>
      <c r="D19">
        <v>39</v>
      </c>
      <c r="E19">
        <v>0</v>
      </c>
      <c r="F19">
        <v>1</v>
      </c>
      <c r="G19">
        <v>860</v>
      </c>
      <c r="H19">
        <v>1</v>
      </c>
      <c r="I19" s="19" t="s">
        <v>195</v>
      </c>
      <c r="J19" s="18">
        <v>0</v>
      </c>
      <c r="K19" s="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146</v>
      </c>
      <c r="U19" s="19" t="s">
        <v>146</v>
      </c>
      <c r="V19" s="18">
        <v>85.744751344773903</v>
      </c>
      <c r="W19">
        <v>0</v>
      </c>
      <c r="X19">
        <v>1.6005212396112999E-3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85.682951443201702</v>
      </c>
      <c r="AE19">
        <v>6.0199380332571502E-2</v>
      </c>
      <c r="AF19">
        <v>0</v>
      </c>
      <c r="AG19">
        <v>0</v>
      </c>
      <c r="AH19" s="19">
        <v>0</v>
      </c>
      <c r="AI19" s="18" t="s">
        <v>291</v>
      </c>
      <c r="AJ19" t="s">
        <v>291</v>
      </c>
      <c r="AK19" s="19" t="s">
        <v>291</v>
      </c>
    </row>
    <row r="20" spans="1:37" x14ac:dyDescent="0.2">
      <c r="A20" s="18" t="s">
        <v>196</v>
      </c>
      <c r="B20" t="s">
        <v>197</v>
      </c>
      <c r="C20">
        <v>0</v>
      </c>
      <c r="D20" t="s">
        <v>148</v>
      </c>
      <c r="E20">
        <v>0</v>
      </c>
      <c r="F20">
        <v>0</v>
      </c>
      <c r="G20">
        <v>550</v>
      </c>
      <c r="H20">
        <v>1</v>
      </c>
      <c r="I20" s="19" t="s">
        <v>198</v>
      </c>
      <c r="J20" s="18">
        <v>0</v>
      </c>
      <c r="K20" s="19">
        <v>897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146</v>
      </c>
      <c r="U20" s="19" t="s">
        <v>146</v>
      </c>
      <c r="V20" s="18">
        <v>0.66445285209075999</v>
      </c>
      <c r="W20">
        <v>0</v>
      </c>
      <c r="X20">
        <v>5.1280730209318E-3</v>
      </c>
      <c r="Y20">
        <v>0</v>
      </c>
      <c r="Z20">
        <v>0</v>
      </c>
      <c r="AA20">
        <v>0</v>
      </c>
      <c r="AB20">
        <v>0.61512898835850904</v>
      </c>
      <c r="AC20">
        <v>0</v>
      </c>
      <c r="AD20">
        <v>4.3553814752439503E-2</v>
      </c>
      <c r="AE20">
        <v>0</v>
      </c>
      <c r="AF20">
        <v>0</v>
      </c>
      <c r="AG20">
        <v>0</v>
      </c>
      <c r="AH20" s="19">
        <v>6.4197595887980003E-4</v>
      </c>
      <c r="AI20" s="18" t="s">
        <v>293</v>
      </c>
      <c r="AJ20" t="s">
        <v>40</v>
      </c>
      <c r="AK20" s="19" t="s">
        <v>292</v>
      </c>
    </row>
    <row r="21" spans="1:37" x14ac:dyDescent="0.2">
      <c r="A21" s="18" t="s">
        <v>199</v>
      </c>
      <c r="B21" t="s">
        <v>200</v>
      </c>
      <c r="C21">
        <v>1</v>
      </c>
      <c r="D21">
        <v>31</v>
      </c>
      <c r="E21">
        <v>0</v>
      </c>
      <c r="F21">
        <v>0</v>
      </c>
      <c r="G21">
        <v>1070</v>
      </c>
      <c r="H21">
        <v>0</v>
      </c>
      <c r="I21" s="19" t="s">
        <v>201</v>
      </c>
      <c r="J21" s="18">
        <v>0</v>
      </c>
      <c r="K21" s="19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146</v>
      </c>
      <c r="U21" s="19" t="s">
        <v>146</v>
      </c>
      <c r="V21" s="18">
        <v>98.994025034490804</v>
      </c>
      <c r="W21">
        <v>0</v>
      </c>
      <c r="X21">
        <v>3.9267284767046599E-2</v>
      </c>
      <c r="Y21">
        <v>0</v>
      </c>
      <c r="Z21">
        <v>0</v>
      </c>
      <c r="AA21">
        <v>0</v>
      </c>
      <c r="AB21">
        <v>9.5614201857623007E-3</v>
      </c>
      <c r="AC21">
        <v>1.1505443377058E-3</v>
      </c>
      <c r="AD21">
        <v>98.650746245456304</v>
      </c>
      <c r="AE21">
        <v>0.29089926621185003</v>
      </c>
      <c r="AF21">
        <v>0</v>
      </c>
      <c r="AG21">
        <v>0</v>
      </c>
      <c r="AH21" s="19">
        <v>2.4002735321104001E-3</v>
      </c>
      <c r="AI21" s="18" t="s">
        <v>291</v>
      </c>
      <c r="AJ21" t="s">
        <v>291</v>
      </c>
      <c r="AK21" s="19" t="s">
        <v>291</v>
      </c>
    </row>
    <row r="22" spans="1:37" x14ac:dyDescent="0.2">
      <c r="A22" s="18" t="s">
        <v>202</v>
      </c>
      <c r="B22" t="s">
        <v>203</v>
      </c>
      <c r="C22">
        <v>0</v>
      </c>
      <c r="D22" t="s">
        <v>148</v>
      </c>
      <c r="E22">
        <v>0</v>
      </c>
      <c r="F22">
        <v>0</v>
      </c>
      <c r="G22">
        <v>900</v>
      </c>
      <c r="H22">
        <v>0</v>
      </c>
      <c r="I22" s="19" t="s">
        <v>204</v>
      </c>
      <c r="J22" s="18">
        <v>2282</v>
      </c>
      <c r="K22" s="19">
        <v>0</v>
      </c>
      <c r="L22">
        <v>0</v>
      </c>
      <c r="M22">
        <v>5.8156547183613796</v>
      </c>
      <c r="N22">
        <v>28.493050475493799</v>
      </c>
      <c r="O22">
        <v>0</v>
      </c>
      <c r="P22">
        <v>18.324798829553799</v>
      </c>
      <c r="Q22">
        <v>0</v>
      </c>
      <c r="R22">
        <v>0</v>
      </c>
      <c r="S22">
        <v>36.649597659107499</v>
      </c>
      <c r="T22" t="s">
        <v>151</v>
      </c>
      <c r="U22" s="19" t="s">
        <v>152</v>
      </c>
      <c r="V22" s="18">
        <v>68.679137399085107</v>
      </c>
      <c r="W22">
        <v>0</v>
      </c>
      <c r="X22">
        <v>5.4606973821848301E-2</v>
      </c>
      <c r="Y22">
        <v>8.3579579555250992E-3</v>
      </c>
      <c r="Z22">
        <v>7.3944024476347403E-2</v>
      </c>
      <c r="AA22">
        <v>2.0631132902050701E-2</v>
      </c>
      <c r="AB22">
        <v>68.328235045946499</v>
      </c>
      <c r="AC22">
        <v>0.12297902632784601</v>
      </c>
      <c r="AD22">
        <v>2.9170427223474901E-2</v>
      </c>
      <c r="AE22">
        <v>0</v>
      </c>
      <c r="AF22">
        <v>0</v>
      </c>
      <c r="AG22">
        <v>4.1212810431583598E-2</v>
      </c>
      <c r="AH22" s="19">
        <v>0</v>
      </c>
      <c r="AI22" s="18" t="s">
        <v>292</v>
      </c>
      <c r="AJ22" t="s">
        <v>40</v>
      </c>
      <c r="AK22" s="19" t="s">
        <v>293</v>
      </c>
    </row>
    <row r="23" spans="1:37" x14ac:dyDescent="0.2">
      <c r="A23" s="18" t="s">
        <v>205</v>
      </c>
      <c r="B23" t="s">
        <v>206</v>
      </c>
      <c r="C23">
        <v>1</v>
      </c>
      <c r="D23" t="s">
        <v>208</v>
      </c>
      <c r="E23">
        <v>0</v>
      </c>
      <c r="F23">
        <v>1</v>
      </c>
      <c r="G23">
        <v>900</v>
      </c>
      <c r="H23">
        <v>0</v>
      </c>
      <c r="I23" s="19" t="s">
        <v>209</v>
      </c>
      <c r="J23" s="18">
        <v>53</v>
      </c>
      <c r="K23" s="19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1.7996604414261499</v>
      </c>
      <c r="T23" t="s">
        <v>151</v>
      </c>
      <c r="U23" s="19" t="s">
        <v>163</v>
      </c>
      <c r="V23" s="18">
        <v>1.15760567974595</v>
      </c>
      <c r="W23">
        <v>0</v>
      </c>
      <c r="X23">
        <v>5.4125746800939996E-4</v>
      </c>
      <c r="Y23">
        <v>1.0668010095282101</v>
      </c>
      <c r="Z23">
        <v>0</v>
      </c>
      <c r="AA23">
        <v>0</v>
      </c>
      <c r="AB23">
        <v>2.9930664985003699E-2</v>
      </c>
      <c r="AC23">
        <v>0</v>
      </c>
      <c r="AD23">
        <v>6.0328382785144602E-2</v>
      </c>
      <c r="AE23">
        <v>0</v>
      </c>
      <c r="AF23">
        <v>0</v>
      </c>
      <c r="AG23">
        <v>0</v>
      </c>
      <c r="AH23" s="19">
        <v>0</v>
      </c>
      <c r="AI23" s="18" t="s">
        <v>40</v>
      </c>
      <c r="AJ23" t="s">
        <v>291</v>
      </c>
      <c r="AK23" s="19" t="s">
        <v>291</v>
      </c>
    </row>
    <row r="24" spans="1:37" x14ac:dyDescent="0.2">
      <c r="A24" s="18" t="s">
        <v>210</v>
      </c>
      <c r="B24" t="s">
        <v>211</v>
      </c>
      <c r="C24">
        <v>0</v>
      </c>
      <c r="D24" t="s">
        <v>148</v>
      </c>
      <c r="E24">
        <v>0</v>
      </c>
      <c r="F24">
        <v>1</v>
      </c>
      <c r="G24">
        <v>1300</v>
      </c>
      <c r="H24">
        <v>0</v>
      </c>
      <c r="I24" s="19" t="s">
        <v>213</v>
      </c>
      <c r="J24" s="18">
        <v>0</v>
      </c>
      <c r="K24" s="19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146</v>
      </c>
      <c r="U24" s="19" t="s">
        <v>146</v>
      </c>
      <c r="V24" s="18">
        <v>8.0016069266383507</v>
      </c>
      <c r="W24">
        <v>0</v>
      </c>
      <c r="X24">
        <v>0</v>
      </c>
      <c r="Y24">
        <v>0</v>
      </c>
      <c r="Z24">
        <v>0</v>
      </c>
      <c r="AA24">
        <v>0</v>
      </c>
      <c r="AB24">
        <v>0.54137377534036901</v>
      </c>
      <c r="AC24">
        <v>7.46023315129798</v>
      </c>
      <c r="AD24">
        <v>0</v>
      </c>
      <c r="AE24">
        <v>0</v>
      </c>
      <c r="AF24">
        <v>0</v>
      </c>
      <c r="AG24">
        <v>0</v>
      </c>
      <c r="AH24" s="19">
        <v>0</v>
      </c>
      <c r="AI24" s="18" t="s">
        <v>41</v>
      </c>
      <c r="AJ24" t="s">
        <v>291</v>
      </c>
      <c r="AK24" s="19" t="s">
        <v>291</v>
      </c>
    </row>
    <row r="25" spans="1:37" x14ac:dyDescent="0.2">
      <c r="A25" s="18" t="s">
        <v>214</v>
      </c>
      <c r="B25" t="s">
        <v>215</v>
      </c>
      <c r="C25">
        <v>1</v>
      </c>
      <c r="D25">
        <v>39</v>
      </c>
      <c r="E25">
        <v>0</v>
      </c>
      <c r="F25">
        <v>1</v>
      </c>
      <c r="G25">
        <v>860</v>
      </c>
      <c r="H25">
        <v>1</v>
      </c>
      <c r="I25" s="19" t="s">
        <v>216</v>
      </c>
      <c r="J25" s="18">
        <v>0</v>
      </c>
      <c r="K25" s="19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146</v>
      </c>
      <c r="U25" s="19" t="s">
        <v>146</v>
      </c>
      <c r="V25" s="18">
        <v>73.273793756249702</v>
      </c>
      <c r="W25">
        <v>0</v>
      </c>
      <c r="X25">
        <v>2.2067165213265901E-2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73.095855467548304</v>
      </c>
      <c r="AE25">
        <v>0.15587112348816201</v>
      </c>
      <c r="AF25">
        <v>0</v>
      </c>
      <c r="AG25">
        <v>0</v>
      </c>
      <c r="AH25" s="19">
        <v>0</v>
      </c>
      <c r="AI25" s="18" t="s">
        <v>291</v>
      </c>
      <c r="AJ25" t="s">
        <v>291</v>
      </c>
      <c r="AK25" s="19" t="s">
        <v>291</v>
      </c>
    </row>
    <row r="26" spans="1:37" x14ac:dyDescent="0.2">
      <c r="A26" s="18" t="s">
        <v>217</v>
      </c>
      <c r="B26" t="s">
        <v>218</v>
      </c>
      <c r="C26">
        <v>1</v>
      </c>
      <c r="D26">
        <v>25</v>
      </c>
      <c r="E26">
        <v>1</v>
      </c>
      <c r="F26">
        <v>0</v>
      </c>
      <c r="G26">
        <v>510</v>
      </c>
      <c r="H26">
        <v>1</v>
      </c>
      <c r="I26" s="19" t="s">
        <v>219</v>
      </c>
      <c r="J26" s="18">
        <v>0</v>
      </c>
      <c r="K26" s="19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146</v>
      </c>
      <c r="U26" s="19" t="s">
        <v>146</v>
      </c>
      <c r="V26" s="18">
        <v>0.10358437458379199</v>
      </c>
      <c r="W26">
        <v>0</v>
      </c>
      <c r="X26">
        <v>0</v>
      </c>
      <c r="Y26">
        <v>0</v>
      </c>
      <c r="Z26">
        <v>0</v>
      </c>
      <c r="AA26">
        <v>0</v>
      </c>
      <c r="AB26">
        <v>2.0702882846209799E-2</v>
      </c>
      <c r="AC26">
        <v>0</v>
      </c>
      <c r="AD26">
        <v>8.2881491737582094E-2</v>
      </c>
      <c r="AE26">
        <v>0</v>
      </c>
      <c r="AF26">
        <v>0</v>
      </c>
      <c r="AG26">
        <v>0</v>
      </c>
      <c r="AH26" s="19">
        <v>0</v>
      </c>
      <c r="AI26" s="18" t="s">
        <v>291</v>
      </c>
      <c r="AJ26" t="s">
        <v>291</v>
      </c>
      <c r="AK26" s="19" t="s">
        <v>291</v>
      </c>
    </row>
    <row r="27" spans="1:37" x14ac:dyDescent="0.2">
      <c r="A27" s="18" t="s">
        <v>220</v>
      </c>
      <c r="B27" t="s">
        <v>221</v>
      </c>
      <c r="C27">
        <v>1</v>
      </c>
      <c r="D27">
        <v>20</v>
      </c>
      <c r="E27">
        <v>1</v>
      </c>
      <c r="F27">
        <v>1</v>
      </c>
      <c r="G27">
        <v>830</v>
      </c>
      <c r="H27">
        <v>0</v>
      </c>
      <c r="I27" s="19" t="s">
        <v>222</v>
      </c>
      <c r="J27" s="18">
        <v>0</v>
      </c>
      <c r="K27" s="19">
        <v>292</v>
      </c>
      <c r="L27">
        <v>0</v>
      </c>
      <c r="M27">
        <v>5.7556270096463003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151</v>
      </c>
      <c r="U27" s="19" t="s">
        <v>152</v>
      </c>
      <c r="V27" s="18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s="19">
        <v>0</v>
      </c>
      <c r="AI27" s="18" t="s">
        <v>291</v>
      </c>
      <c r="AJ27" t="s">
        <v>291</v>
      </c>
      <c r="AK27" s="19" t="s">
        <v>291</v>
      </c>
    </row>
    <row r="28" spans="1:37" x14ac:dyDescent="0.2">
      <c r="A28" s="18" t="s">
        <v>223</v>
      </c>
      <c r="B28" t="s">
        <v>224</v>
      </c>
      <c r="C28">
        <v>1</v>
      </c>
      <c r="D28">
        <v>12</v>
      </c>
      <c r="E28">
        <v>0</v>
      </c>
      <c r="F28">
        <v>1</v>
      </c>
      <c r="G28">
        <v>1026</v>
      </c>
      <c r="H28">
        <v>1</v>
      </c>
      <c r="I28" s="19" t="s">
        <v>225</v>
      </c>
      <c r="J28" s="18">
        <v>50</v>
      </c>
      <c r="K28" s="19">
        <v>90</v>
      </c>
      <c r="L28">
        <v>0</v>
      </c>
      <c r="M28">
        <v>0</v>
      </c>
      <c r="N28">
        <v>0</v>
      </c>
      <c r="O28">
        <v>0</v>
      </c>
      <c r="P28">
        <v>26.237623762376199</v>
      </c>
      <c r="Q28">
        <v>0</v>
      </c>
      <c r="R28">
        <v>0</v>
      </c>
      <c r="S28">
        <v>0</v>
      </c>
      <c r="T28" t="s">
        <v>151</v>
      </c>
      <c r="U28" s="19" t="s">
        <v>152</v>
      </c>
      <c r="V28" s="18">
        <v>22.366128167583199</v>
      </c>
      <c r="W28">
        <v>0</v>
      </c>
      <c r="X28">
        <v>1.4750100178863999E-3</v>
      </c>
      <c r="Y28">
        <v>0</v>
      </c>
      <c r="Z28">
        <v>1.6686982020534001E-2</v>
      </c>
      <c r="AA28">
        <v>2.4583500298107999E-3</v>
      </c>
      <c r="AB28">
        <v>22.306427509586602</v>
      </c>
      <c r="AC28">
        <v>2.9373558083466901E-2</v>
      </c>
      <c r="AD28">
        <v>0</v>
      </c>
      <c r="AE28">
        <v>0</v>
      </c>
      <c r="AF28">
        <v>0</v>
      </c>
      <c r="AG28">
        <v>9.7142073905251008E-3</v>
      </c>
      <c r="AH28" s="19">
        <v>0</v>
      </c>
      <c r="AI28" s="18" t="s">
        <v>293</v>
      </c>
      <c r="AJ28" t="s">
        <v>292</v>
      </c>
      <c r="AK28" s="19" t="s">
        <v>291</v>
      </c>
    </row>
    <row r="29" spans="1:37" x14ac:dyDescent="0.2">
      <c r="A29" s="18" t="s">
        <v>226</v>
      </c>
      <c r="B29" t="s">
        <v>227</v>
      </c>
      <c r="C29">
        <v>0</v>
      </c>
      <c r="D29" t="s">
        <v>148</v>
      </c>
      <c r="E29">
        <v>0</v>
      </c>
      <c r="F29">
        <v>1</v>
      </c>
      <c r="G29">
        <v>1050</v>
      </c>
      <c r="H29">
        <v>0</v>
      </c>
      <c r="I29" s="19" t="s">
        <v>228</v>
      </c>
      <c r="J29" s="18">
        <v>0</v>
      </c>
      <c r="K29" s="1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146</v>
      </c>
      <c r="U29" s="19" t="s">
        <v>146</v>
      </c>
      <c r="V29" s="18">
        <v>70.194627882506296</v>
      </c>
      <c r="W29">
        <v>0</v>
      </c>
      <c r="X29">
        <v>70.175973411068199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1.8654471438095802E-2</v>
      </c>
      <c r="AE29">
        <v>0</v>
      </c>
      <c r="AF29">
        <v>0</v>
      </c>
      <c r="AG29">
        <v>0</v>
      </c>
      <c r="AH29" s="19">
        <v>0</v>
      </c>
      <c r="AI29" s="18" t="s">
        <v>291</v>
      </c>
      <c r="AJ29" t="s">
        <v>291</v>
      </c>
      <c r="AK29" s="19" t="s">
        <v>291</v>
      </c>
    </row>
    <row r="30" spans="1:37" x14ac:dyDescent="0.2">
      <c r="A30" s="18" t="s">
        <v>229</v>
      </c>
      <c r="B30" t="s">
        <v>230</v>
      </c>
      <c r="C30">
        <v>0</v>
      </c>
      <c r="D30" t="s">
        <v>148</v>
      </c>
      <c r="E30">
        <v>1</v>
      </c>
      <c r="F30">
        <v>0</v>
      </c>
      <c r="G30">
        <v>820</v>
      </c>
      <c r="H30">
        <v>0</v>
      </c>
      <c r="I30" s="19" t="s">
        <v>231</v>
      </c>
      <c r="J30" s="18">
        <v>0</v>
      </c>
      <c r="K30" s="19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146</v>
      </c>
      <c r="U30" s="19" t="s">
        <v>146</v>
      </c>
      <c r="V30" s="18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s="19">
        <v>0</v>
      </c>
      <c r="AI30" s="18" t="s">
        <v>291</v>
      </c>
      <c r="AJ30" t="s">
        <v>291</v>
      </c>
      <c r="AK30" s="19" t="s">
        <v>291</v>
      </c>
    </row>
    <row r="31" spans="1:37" x14ac:dyDescent="0.2">
      <c r="A31" s="18" t="s">
        <v>232</v>
      </c>
      <c r="B31" t="s">
        <v>233</v>
      </c>
      <c r="C31">
        <v>0</v>
      </c>
      <c r="D31" t="s">
        <v>148</v>
      </c>
      <c r="E31">
        <v>0</v>
      </c>
      <c r="F31">
        <v>1</v>
      </c>
      <c r="G31">
        <v>1130</v>
      </c>
      <c r="H31">
        <v>0</v>
      </c>
      <c r="I31" s="19" t="s">
        <v>234</v>
      </c>
      <c r="J31" s="18">
        <v>0</v>
      </c>
      <c r="K31" s="19">
        <v>458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146</v>
      </c>
      <c r="U31" s="19" t="s">
        <v>146</v>
      </c>
      <c r="V31" s="18">
        <v>4.1140186273034996E-3</v>
      </c>
      <c r="W31">
        <v>0</v>
      </c>
      <c r="X31">
        <v>0</v>
      </c>
      <c r="Y31">
        <v>0</v>
      </c>
      <c r="Z31">
        <v>0</v>
      </c>
      <c r="AA31">
        <v>0</v>
      </c>
      <c r="AB31">
        <v>1.9015586976816E-3</v>
      </c>
      <c r="AC31">
        <v>0</v>
      </c>
      <c r="AD31">
        <v>2.2124599296218998E-3</v>
      </c>
      <c r="AE31">
        <v>0</v>
      </c>
      <c r="AF31">
        <v>0</v>
      </c>
      <c r="AG31">
        <v>0</v>
      </c>
      <c r="AH31" s="19">
        <v>0</v>
      </c>
      <c r="AI31" s="18" t="s">
        <v>291</v>
      </c>
      <c r="AJ31" t="s">
        <v>291</v>
      </c>
      <c r="AK31" s="19" t="s">
        <v>291</v>
      </c>
    </row>
    <row r="32" spans="1:37" x14ac:dyDescent="0.2">
      <c r="A32" s="18" t="s">
        <v>235</v>
      </c>
      <c r="B32" t="s">
        <v>236</v>
      </c>
      <c r="C32">
        <v>0</v>
      </c>
      <c r="D32" t="s">
        <v>148</v>
      </c>
      <c r="E32">
        <v>0</v>
      </c>
      <c r="F32">
        <v>0</v>
      </c>
      <c r="G32">
        <v>680</v>
      </c>
      <c r="H32">
        <v>0</v>
      </c>
      <c r="I32" s="19" t="s">
        <v>237</v>
      </c>
      <c r="J32" s="18">
        <v>0</v>
      </c>
      <c r="K32" s="19">
        <v>340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146</v>
      </c>
      <c r="U32" s="19" t="s">
        <v>146</v>
      </c>
      <c r="V32" s="18">
        <v>2.35882914525418E-2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2.35882914525418E-2</v>
      </c>
      <c r="AE32">
        <v>0</v>
      </c>
      <c r="AF32">
        <v>0</v>
      </c>
      <c r="AG32">
        <v>0</v>
      </c>
      <c r="AH32" s="19">
        <v>0</v>
      </c>
      <c r="AI32" s="18" t="s">
        <v>291</v>
      </c>
      <c r="AJ32" t="s">
        <v>291</v>
      </c>
      <c r="AK32" s="19" t="s">
        <v>291</v>
      </c>
    </row>
    <row r="33" spans="1:37" x14ac:dyDescent="0.2">
      <c r="A33" s="18" t="s">
        <v>238</v>
      </c>
      <c r="B33" t="s">
        <v>239</v>
      </c>
      <c r="C33">
        <v>0</v>
      </c>
      <c r="D33" t="s">
        <v>148</v>
      </c>
      <c r="E33">
        <v>0</v>
      </c>
      <c r="F33">
        <v>1</v>
      </c>
      <c r="G33">
        <v>1350</v>
      </c>
      <c r="H33">
        <v>0</v>
      </c>
      <c r="I33" s="19" t="s">
        <v>240</v>
      </c>
      <c r="J33" s="18">
        <v>222</v>
      </c>
      <c r="K33" s="19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146</v>
      </c>
      <c r="U33" s="19" t="s">
        <v>146</v>
      </c>
      <c r="V33" s="18">
        <v>53.614935183301696</v>
      </c>
      <c r="W33">
        <v>0</v>
      </c>
      <c r="X33">
        <v>4.1930873467282996E-3</v>
      </c>
      <c r="Y33">
        <v>0</v>
      </c>
      <c r="Z33">
        <v>2.3046097500389301E-2</v>
      </c>
      <c r="AA33">
        <v>4.8522279713086999E-3</v>
      </c>
      <c r="AB33">
        <v>9.31929545716986E-2</v>
      </c>
      <c r="AC33">
        <v>53.469153924923098</v>
      </c>
      <c r="AD33">
        <v>0</v>
      </c>
      <c r="AE33">
        <v>0</v>
      </c>
      <c r="AF33">
        <v>0</v>
      </c>
      <c r="AG33">
        <v>2.0488949535149702E-2</v>
      </c>
      <c r="AH33" s="19">
        <v>0</v>
      </c>
      <c r="AI33" s="18" t="s">
        <v>41</v>
      </c>
      <c r="AJ33" t="s">
        <v>291</v>
      </c>
      <c r="AK33" s="19" t="s">
        <v>291</v>
      </c>
    </row>
    <row r="34" spans="1:37" x14ac:dyDescent="0.2">
      <c r="A34" s="18" t="s">
        <v>241</v>
      </c>
      <c r="B34" t="s">
        <v>242</v>
      </c>
      <c r="C34">
        <v>0</v>
      </c>
      <c r="D34" t="s">
        <v>148</v>
      </c>
      <c r="E34">
        <v>0</v>
      </c>
      <c r="F34">
        <v>1</v>
      </c>
      <c r="G34">
        <v>620</v>
      </c>
      <c r="H34">
        <v>0</v>
      </c>
      <c r="I34" s="19" t="s">
        <v>243</v>
      </c>
      <c r="J34" s="18">
        <v>0</v>
      </c>
      <c r="K34" s="19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146</v>
      </c>
      <c r="U34" s="19" t="s">
        <v>146</v>
      </c>
      <c r="V34" s="18">
        <v>0.21878374021963401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0.169694962509329</v>
      </c>
      <c r="AC34">
        <v>0</v>
      </c>
      <c r="AD34">
        <v>4.9080883085391699E-2</v>
      </c>
      <c r="AE34">
        <v>0</v>
      </c>
      <c r="AF34">
        <v>0</v>
      </c>
      <c r="AG34">
        <v>0</v>
      </c>
      <c r="AH34" s="19">
        <v>0</v>
      </c>
      <c r="AI34" s="18" t="s">
        <v>291</v>
      </c>
      <c r="AJ34" t="s">
        <v>291</v>
      </c>
      <c r="AK34" s="19" t="s">
        <v>291</v>
      </c>
    </row>
    <row r="35" spans="1:37" x14ac:dyDescent="0.2">
      <c r="A35" s="18" t="s">
        <v>244</v>
      </c>
      <c r="B35" t="s">
        <v>245</v>
      </c>
      <c r="C35">
        <v>0</v>
      </c>
      <c r="D35" t="s">
        <v>148</v>
      </c>
      <c r="E35">
        <v>0</v>
      </c>
      <c r="F35">
        <v>1</v>
      </c>
      <c r="G35">
        <v>1020</v>
      </c>
      <c r="H35">
        <v>0</v>
      </c>
      <c r="I35" s="19" t="s">
        <v>246</v>
      </c>
      <c r="J35" s="18">
        <v>0</v>
      </c>
      <c r="K35" s="19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146</v>
      </c>
      <c r="U35" s="19" t="s">
        <v>146</v>
      </c>
      <c r="V35" s="18">
        <v>6.9949260890698004E-3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6.9949260890698004E-3</v>
      </c>
      <c r="AE35">
        <v>0</v>
      </c>
      <c r="AF35">
        <v>0</v>
      </c>
      <c r="AG35">
        <v>0</v>
      </c>
      <c r="AH35" s="19">
        <v>0</v>
      </c>
      <c r="AI35" s="18" t="s">
        <v>291</v>
      </c>
      <c r="AJ35" t="s">
        <v>291</v>
      </c>
      <c r="AK35" s="19" t="s">
        <v>291</v>
      </c>
    </row>
    <row r="36" spans="1:37" x14ac:dyDescent="0.2">
      <c r="A36" s="18" t="s">
        <v>247</v>
      </c>
      <c r="B36" t="s">
        <v>248</v>
      </c>
      <c r="C36">
        <v>0</v>
      </c>
      <c r="D36" t="s">
        <v>148</v>
      </c>
      <c r="E36">
        <v>0</v>
      </c>
      <c r="F36">
        <v>0</v>
      </c>
      <c r="G36">
        <v>520</v>
      </c>
      <c r="H36">
        <v>0</v>
      </c>
      <c r="I36" s="19" t="s">
        <v>249</v>
      </c>
      <c r="J36" s="18">
        <v>0</v>
      </c>
      <c r="K36" s="19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146</v>
      </c>
      <c r="U36" s="19" t="s">
        <v>146</v>
      </c>
      <c r="V36" s="18">
        <v>51.625773896243601</v>
      </c>
      <c r="W36">
        <v>0</v>
      </c>
      <c r="X36">
        <v>1.6623773704285399E-2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51.515213213121797</v>
      </c>
      <c r="AE36">
        <v>9.3929280333713894E-2</v>
      </c>
      <c r="AF36">
        <v>0</v>
      </c>
      <c r="AG36">
        <v>0</v>
      </c>
      <c r="AH36" s="19">
        <v>0</v>
      </c>
      <c r="AI36" s="18" t="s">
        <v>291</v>
      </c>
      <c r="AJ36" t="s">
        <v>291</v>
      </c>
      <c r="AK36" s="19" t="s">
        <v>291</v>
      </c>
    </row>
    <row r="37" spans="1:37" x14ac:dyDescent="0.2">
      <c r="A37" s="18" t="s">
        <v>250</v>
      </c>
      <c r="B37" t="s">
        <v>251</v>
      </c>
      <c r="C37">
        <v>0</v>
      </c>
      <c r="D37" t="s">
        <v>148</v>
      </c>
      <c r="E37">
        <v>0</v>
      </c>
      <c r="F37">
        <v>1</v>
      </c>
      <c r="G37">
        <v>750</v>
      </c>
      <c r="H37">
        <v>1</v>
      </c>
      <c r="I37" s="19" t="s">
        <v>252</v>
      </c>
      <c r="J37" s="18">
        <v>0</v>
      </c>
      <c r="K37" s="19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146</v>
      </c>
      <c r="U37" s="19" t="s">
        <v>146</v>
      </c>
      <c r="V37" s="18">
        <v>4.90156143596783E-2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4.90156143596783E-2</v>
      </c>
      <c r="AE37">
        <v>0</v>
      </c>
      <c r="AF37">
        <v>0</v>
      </c>
      <c r="AG37">
        <v>0</v>
      </c>
      <c r="AH37" s="19">
        <v>0</v>
      </c>
      <c r="AI37" s="18" t="s">
        <v>291</v>
      </c>
      <c r="AJ37" t="s">
        <v>291</v>
      </c>
      <c r="AK37" s="19" t="s">
        <v>291</v>
      </c>
    </row>
    <row r="38" spans="1:37" x14ac:dyDescent="0.2">
      <c r="A38" s="18" t="s">
        <v>253</v>
      </c>
      <c r="B38" t="s">
        <v>254</v>
      </c>
      <c r="C38">
        <v>0</v>
      </c>
      <c r="D38" t="s">
        <v>148</v>
      </c>
      <c r="E38">
        <v>0</v>
      </c>
      <c r="F38">
        <v>0</v>
      </c>
      <c r="G38">
        <v>940</v>
      </c>
      <c r="H38">
        <v>0</v>
      </c>
      <c r="I38" s="19" t="s">
        <v>255</v>
      </c>
      <c r="J38" s="18">
        <v>0</v>
      </c>
      <c r="K38" s="19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146</v>
      </c>
      <c r="U38" s="19" t="s">
        <v>146</v>
      </c>
      <c r="V38" s="18">
        <v>3.8970879268633303E-2</v>
      </c>
      <c r="W38">
        <v>0</v>
      </c>
      <c r="X38">
        <v>0</v>
      </c>
      <c r="Y38">
        <v>0</v>
      </c>
      <c r="Z38">
        <v>0</v>
      </c>
      <c r="AA38">
        <v>0</v>
      </c>
      <c r="AB38">
        <v>2.2840103129641801E-2</v>
      </c>
      <c r="AC38">
        <v>0</v>
      </c>
      <c r="AD38">
        <v>1.6130776138991401E-2</v>
      </c>
      <c r="AE38">
        <v>0</v>
      </c>
      <c r="AF38">
        <v>0</v>
      </c>
      <c r="AG38">
        <v>0</v>
      </c>
      <c r="AH38" s="19">
        <v>0</v>
      </c>
      <c r="AI38" s="18" t="s">
        <v>291</v>
      </c>
      <c r="AJ38" t="s">
        <v>291</v>
      </c>
      <c r="AK38" s="19" t="s">
        <v>291</v>
      </c>
    </row>
    <row r="39" spans="1:37" x14ac:dyDescent="0.2">
      <c r="A39" s="18" t="s">
        <v>256</v>
      </c>
      <c r="B39" t="s">
        <v>257</v>
      </c>
      <c r="C39">
        <v>0</v>
      </c>
      <c r="D39" t="s">
        <v>148</v>
      </c>
      <c r="E39">
        <v>0</v>
      </c>
      <c r="F39">
        <v>1</v>
      </c>
      <c r="G39">
        <v>640</v>
      </c>
      <c r="H39">
        <v>1</v>
      </c>
      <c r="I39" s="19" t="s">
        <v>258</v>
      </c>
      <c r="J39" s="18">
        <v>318</v>
      </c>
      <c r="K39" s="19">
        <v>155</v>
      </c>
      <c r="L39">
        <v>0</v>
      </c>
      <c r="M39">
        <v>0</v>
      </c>
      <c r="N39">
        <v>0</v>
      </c>
      <c r="O39">
        <v>0</v>
      </c>
      <c r="P39">
        <v>46.362137979750401</v>
      </c>
      <c r="Q39">
        <v>0</v>
      </c>
      <c r="R39">
        <v>0</v>
      </c>
      <c r="S39">
        <v>0</v>
      </c>
      <c r="T39" t="s">
        <v>151</v>
      </c>
      <c r="U39" s="19" t="s">
        <v>152</v>
      </c>
      <c r="V39" s="18">
        <v>71.476412883785201</v>
      </c>
      <c r="W39">
        <v>0</v>
      </c>
      <c r="X39">
        <v>1.1471360683588601E-2</v>
      </c>
      <c r="Y39">
        <v>1.0506620757504999E-2</v>
      </c>
      <c r="Z39">
        <v>5.7801488227622599E-2</v>
      </c>
      <c r="AA39">
        <v>1.6400578743422399E-2</v>
      </c>
      <c r="AB39">
        <v>70.774670105988804</v>
      </c>
      <c r="AC39">
        <v>9.2215570278388698E-2</v>
      </c>
      <c r="AD39">
        <v>0.37443214678055398</v>
      </c>
      <c r="AE39">
        <v>3.6479228455037998E-3</v>
      </c>
      <c r="AF39">
        <v>0</v>
      </c>
      <c r="AG39">
        <v>4.0458780650134099E-2</v>
      </c>
      <c r="AH39" s="19">
        <v>9.4800771799066E-2</v>
      </c>
      <c r="AI39" s="18" t="s">
        <v>292</v>
      </c>
      <c r="AJ39" t="s">
        <v>293</v>
      </c>
      <c r="AK39" s="19" t="s">
        <v>291</v>
      </c>
    </row>
    <row r="40" spans="1:37" x14ac:dyDescent="0.2">
      <c r="A40" s="18" t="s">
        <v>259</v>
      </c>
      <c r="B40" t="s">
        <v>260</v>
      </c>
      <c r="C40">
        <v>0</v>
      </c>
      <c r="D40" t="s">
        <v>148</v>
      </c>
      <c r="E40">
        <v>0</v>
      </c>
      <c r="F40">
        <v>1</v>
      </c>
      <c r="G40">
        <v>920</v>
      </c>
      <c r="H40">
        <v>0</v>
      </c>
      <c r="I40" s="19" t="s">
        <v>261</v>
      </c>
      <c r="J40" s="18">
        <v>0</v>
      </c>
      <c r="K40" s="19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146</v>
      </c>
      <c r="U40" s="19" t="s">
        <v>146</v>
      </c>
      <c r="V40" s="18">
        <v>5.5187641122351798E-2</v>
      </c>
      <c r="W40">
        <v>6.384836255991E-4</v>
      </c>
      <c r="X40">
        <v>0</v>
      </c>
      <c r="Y40">
        <v>0</v>
      </c>
      <c r="Z40">
        <v>0</v>
      </c>
      <c r="AA40">
        <v>0</v>
      </c>
      <c r="AB40">
        <v>2.77843358365563E-2</v>
      </c>
      <c r="AC40">
        <v>0</v>
      </c>
      <c r="AD40">
        <v>1.82122305140659E-2</v>
      </c>
      <c r="AE40">
        <v>0</v>
      </c>
      <c r="AF40">
        <v>0</v>
      </c>
      <c r="AG40">
        <v>8.5474420846336999E-3</v>
      </c>
      <c r="AH40" s="19">
        <v>0</v>
      </c>
      <c r="AI40" s="18" t="s">
        <v>291</v>
      </c>
      <c r="AJ40" t="s">
        <v>291</v>
      </c>
      <c r="AK40" s="19" t="s">
        <v>291</v>
      </c>
    </row>
    <row r="41" spans="1:37" x14ac:dyDescent="0.2">
      <c r="A41" s="18" t="s">
        <v>262</v>
      </c>
      <c r="B41" t="s">
        <v>263</v>
      </c>
      <c r="C41">
        <v>1</v>
      </c>
      <c r="D41">
        <v>20</v>
      </c>
      <c r="E41">
        <v>0</v>
      </c>
      <c r="F41">
        <v>0</v>
      </c>
      <c r="G41">
        <v>680</v>
      </c>
      <c r="H41">
        <v>1</v>
      </c>
      <c r="I41" s="19" t="s">
        <v>264</v>
      </c>
      <c r="J41" s="18">
        <v>339</v>
      </c>
      <c r="K41" s="19">
        <v>121</v>
      </c>
      <c r="L41">
        <v>0</v>
      </c>
      <c r="M41">
        <v>0</v>
      </c>
      <c r="N41">
        <v>0</v>
      </c>
      <c r="O41">
        <v>0</v>
      </c>
      <c r="P41">
        <v>75.854700854700894</v>
      </c>
      <c r="Q41">
        <v>0</v>
      </c>
      <c r="R41">
        <v>0</v>
      </c>
      <c r="S41">
        <v>0</v>
      </c>
      <c r="T41" t="s">
        <v>151</v>
      </c>
      <c r="U41" s="19" t="s">
        <v>152</v>
      </c>
      <c r="V41" s="18">
        <v>74.209573046488899</v>
      </c>
      <c r="W41">
        <v>0</v>
      </c>
      <c r="X41">
        <v>1.48776382773945E-2</v>
      </c>
      <c r="Y41">
        <v>4.3419378659133E-3</v>
      </c>
      <c r="Z41">
        <v>5.5649301649873098E-2</v>
      </c>
      <c r="AA41">
        <v>1.40344670402752E-2</v>
      </c>
      <c r="AB41">
        <v>73.980198949572397</v>
      </c>
      <c r="AC41">
        <v>9.3576247110201502E-2</v>
      </c>
      <c r="AD41">
        <v>0</v>
      </c>
      <c r="AE41">
        <v>0</v>
      </c>
      <c r="AF41">
        <v>0</v>
      </c>
      <c r="AG41">
        <v>4.6886624867848302E-2</v>
      </c>
      <c r="AH41" s="19">
        <v>0</v>
      </c>
      <c r="AI41" s="18" t="s">
        <v>292</v>
      </c>
      <c r="AJ41" t="s">
        <v>293</v>
      </c>
      <c r="AK41" s="19" t="s">
        <v>291</v>
      </c>
    </row>
    <row r="42" spans="1:37" x14ac:dyDescent="0.2">
      <c r="A42" s="18" t="s">
        <v>265</v>
      </c>
      <c r="B42" t="s">
        <v>266</v>
      </c>
      <c r="C42">
        <v>0</v>
      </c>
      <c r="D42" t="s">
        <v>148</v>
      </c>
      <c r="E42">
        <v>0</v>
      </c>
      <c r="F42">
        <v>1</v>
      </c>
      <c r="G42">
        <v>925</v>
      </c>
      <c r="H42">
        <v>0</v>
      </c>
      <c r="I42" s="19" t="s">
        <v>267</v>
      </c>
      <c r="J42" s="18">
        <v>0</v>
      </c>
      <c r="K42" s="19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146</v>
      </c>
      <c r="U42" s="19" t="s">
        <v>146</v>
      </c>
      <c r="V42" s="18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s="19">
        <v>0</v>
      </c>
      <c r="AI42" s="18" t="s">
        <v>291</v>
      </c>
      <c r="AJ42" t="s">
        <v>291</v>
      </c>
      <c r="AK42" s="19" t="s">
        <v>291</v>
      </c>
    </row>
    <row r="43" spans="1:37" x14ac:dyDescent="0.2">
      <c r="A43" s="18" t="s">
        <v>285</v>
      </c>
      <c r="B43" t="s">
        <v>268</v>
      </c>
      <c r="C43">
        <v>1</v>
      </c>
      <c r="D43">
        <v>21</v>
      </c>
      <c r="E43">
        <v>0</v>
      </c>
      <c r="F43">
        <v>1</v>
      </c>
      <c r="G43">
        <v>560</v>
      </c>
      <c r="H43">
        <v>1</v>
      </c>
      <c r="I43" s="19" t="s">
        <v>269</v>
      </c>
      <c r="J43" s="18">
        <v>0</v>
      </c>
      <c r="K43" s="19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146</v>
      </c>
      <c r="U43" s="19" t="s">
        <v>146</v>
      </c>
      <c r="V43" s="18">
        <v>7.7297145172369004E-3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7.7297145172369004E-3</v>
      </c>
      <c r="AE43">
        <v>0</v>
      </c>
      <c r="AF43">
        <v>0</v>
      </c>
      <c r="AG43">
        <v>0</v>
      </c>
      <c r="AH43" s="19">
        <v>0</v>
      </c>
      <c r="AI43" s="18" t="s">
        <v>291</v>
      </c>
      <c r="AJ43" t="s">
        <v>291</v>
      </c>
      <c r="AK43" s="19" t="s">
        <v>291</v>
      </c>
    </row>
    <row r="44" spans="1:37" x14ac:dyDescent="0.2">
      <c r="A44" s="20" t="s">
        <v>270</v>
      </c>
      <c r="B44" s="21" t="s">
        <v>271</v>
      </c>
      <c r="C44" s="21">
        <v>0</v>
      </c>
      <c r="D44" s="21" t="s">
        <v>148</v>
      </c>
      <c r="E44" s="21">
        <v>0</v>
      </c>
      <c r="F44" s="21">
        <v>1</v>
      </c>
      <c r="G44" s="21">
        <v>850</v>
      </c>
      <c r="H44" s="21">
        <v>0</v>
      </c>
      <c r="I44" s="22" t="s">
        <v>272</v>
      </c>
      <c r="J44" s="20">
        <v>0</v>
      </c>
      <c r="K44" s="22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 t="s">
        <v>146</v>
      </c>
      <c r="U44" s="22" t="s">
        <v>146</v>
      </c>
      <c r="V44" s="20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2">
        <v>0</v>
      </c>
      <c r="AI44" s="20" t="s">
        <v>291</v>
      </c>
      <c r="AJ44" s="21" t="s">
        <v>291</v>
      </c>
      <c r="AK44" s="22" t="s">
        <v>291</v>
      </c>
    </row>
  </sheetData>
  <mergeCells count="5">
    <mergeCell ref="AI3:AK3"/>
    <mergeCell ref="A3:I3"/>
    <mergeCell ref="V3:AH3"/>
    <mergeCell ref="L3:U3"/>
    <mergeCell ref="J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05B4-ED21-4E7D-AE01-3EC00D8EA9E7}">
  <dimension ref="A1:K50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6" x14ac:dyDescent="0.2"/>
  <cols>
    <col min="1" max="16384" width="8.83203125" style="5"/>
  </cols>
  <sheetData>
    <row r="1" spans="1:11" x14ac:dyDescent="0.2">
      <c r="A1" s="6" t="s">
        <v>305</v>
      </c>
    </row>
    <row r="3" spans="1:11" x14ac:dyDescent="0.2">
      <c r="A3" s="5" t="s">
        <v>284</v>
      </c>
      <c r="B3" s="16" t="s">
        <v>280</v>
      </c>
      <c r="C3" s="5" t="s">
        <v>278</v>
      </c>
      <c r="D3" s="5" t="s">
        <v>281</v>
      </c>
      <c r="E3" s="17" t="s">
        <v>282</v>
      </c>
      <c r="G3" s="5" t="s">
        <v>284</v>
      </c>
      <c r="H3" s="16" t="s">
        <v>280</v>
      </c>
      <c r="I3" s="5" t="s">
        <v>278</v>
      </c>
      <c r="J3" s="5" t="s">
        <v>281</v>
      </c>
      <c r="K3" s="17" t="s">
        <v>282</v>
      </c>
    </row>
    <row r="4" spans="1:11" x14ac:dyDescent="0.2">
      <c r="A4" s="16" t="s">
        <v>280</v>
      </c>
      <c r="B4" s="5">
        <v>1</v>
      </c>
      <c r="G4" s="16" t="s">
        <v>280</v>
      </c>
      <c r="H4" s="5">
        <v>1</v>
      </c>
    </row>
    <row r="5" spans="1:11" x14ac:dyDescent="0.2">
      <c r="A5" s="5" t="s">
        <v>278</v>
      </c>
      <c r="B5" s="5">
        <v>0.78</v>
      </c>
      <c r="C5" s="5">
        <v>1</v>
      </c>
      <c r="G5" s="5" t="s">
        <v>278</v>
      </c>
      <c r="H5" s="5">
        <v>0</v>
      </c>
      <c r="I5" s="5">
        <v>1</v>
      </c>
    </row>
    <row r="6" spans="1:11" x14ac:dyDescent="0.2">
      <c r="A6" s="5" t="s">
        <v>281</v>
      </c>
      <c r="B6" s="5">
        <v>0.89</v>
      </c>
      <c r="C6" s="5">
        <v>0.7</v>
      </c>
      <c r="D6" s="5">
        <v>1</v>
      </c>
      <c r="G6" s="5" t="s">
        <v>281</v>
      </c>
      <c r="H6" s="5">
        <v>0.11</v>
      </c>
      <c r="I6" s="5">
        <v>0.7</v>
      </c>
      <c r="J6" s="5">
        <v>1</v>
      </c>
    </row>
    <row r="7" spans="1:11" x14ac:dyDescent="0.2">
      <c r="A7" s="17" t="s">
        <v>282</v>
      </c>
      <c r="B7" s="5">
        <v>0.8</v>
      </c>
      <c r="C7" s="5">
        <v>0.64</v>
      </c>
      <c r="D7" s="5">
        <v>0.9</v>
      </c>
      <c r="E7" s="5">
        <v>1</v>
      </c>
      <c r="G7" s="17" t="s">
        <v>282</v>
      </c>
      <c r="H7" s="5">
        <v>0.1</v>
      </c>
      <c r="I7" s="5">
        <v>0.64</v>
      </c>
      <c r="J7" s="5">
        <v>0.9</v>
      </c>
      <c r="K7" s="5">
        <v>1</v>
      </c>
    </row>
    <row r="9" spans="1:11" x14ac:dyDescent="0.2">
      <c r="B9" s="29" t="s">
        <v>303</v>
      </c>
      <c r="C9" s="29"/>
      <c r="D9" s="29"/>
      <c r="E9" s="29"/>
      <c r="H9" s="29" t="s">
        <v>304</v>
      </c>
      <c r="I9" s="29"/>
      <c r="J9" s="29"/>
      <c r="K9" s="29"/>
    </row>
    <row r="10" spans="1:11" x14ac:dyDescent="0.2">
      <c r="B10" s="16" t="s">
        <v>280</v>
      </c>
      <c r="C10" s="5" t="s">
        <v>278</v>
      </c>
      <c r="D10" s="5" t="s">
        <v>281</v>
      </c>
      <c r="E10" s="17" t="s">
        <v>282</v>
      </c>
      <c r="H10" s="16" t="s">
        <v>280</v>
      </c>
      <c r="I10" s="5" t="s">
        <v>278</v>
      </c>
      <c r="J10" s="5" t="s">
        <v>281</v>
      </c>
      <c r="K10" s="17" t="s">
        <v>282</v>
      </c>
    </row>
    <row r="11" spans="1:11" x14ac:dyDescent="0.2">
      <c r="A11" s="5" t="s">
        <v>147</v>
      </c>
      <c r="B11" s="5" t="s">
        <v>279</v>
      </c>
      <c r="C11" s="5" t="s">
        <v>279</v>
      </c>
      <c r="D11" s="5" t="s">
        <v>279</v>
      </c>
      <c r="E11" s="5" t="s">
        <v>279</v>
      </c>
      <c r="G11" s="5" t="s">
        <v>147</v>
      </c>
      <c r="H11" s="16" t="s">
        <v>279</v>
      </c>
      <c r="I11" s="5" t="s">
        <v>279</v>
      </c>
      <c r="J11" s="5" t="s">
        <v>279</v>
      </c>
      <c r="K11" s="5" t="s">
        <v>279</v>
      </c>
    </row>
    <row r="12" spans="1:11" x14ac:dyDescent="0.2">
      <c r="A12" s="5" t="s">
        <v>153</v>
      </c>
      <c r="B12" s="5" t="s">
        <v>283</v>
      </c>
      <c r="C12" s="5" t="s">
        <v>283</v>
      </c>
      <c r="D12" s="5" t="s">
        <v>283</v>
      </c>
      <c r="E12" s="5" t="s">
        <v>283</v>
      </c>
      <c r="G12" s="5" t="s">
        <v>153</v>
      </c>
      <c r="H12" s="16" t="s">
        <v>212</v>
      </c>
      <c r="I12" s="5" t="s">
        <v>154</v>
      </c>
      <c r="J12" s="5" t="s">
        <v>154</v>
      </c>
      <c r="K12" s="5" t="s">
        <v>154</v>
      </c>
    </row>
    <row r="13" spans="1:11" x14ac:dyDescent="0.2">
      <c r="A13" s="5" t="s">
        <v>157</v>
      </c>
      <c r="B13" s="5" t="s">
        <v>279</v>
      </c>
      <c r="C13" s="5" t="s">
        <v>279</v>
      </c>
      <c r="D13" s="5" t="s">
        <v>279</v>
      </c>
      <c r="E13" s="5" t="s">
        <v>279</v>
      </c>
      <c r="G13" s="5" t="s">
        <v>157</v>
      </c>
      <c r="H13" s="16" t="s">
        <v>279</v>
      </c>
      <c r="I13" s="5" t="s">
        <v>279</v>
      </c>
      <c r="J13" s="5" t="s">
        <v>279</v>
      </c>
      <c r="K13" s="5" t="s">
        <v>279</v>
      </c>
    </row>
    <row r="14" spans="1:11" x14ac:dyDescent="0.2">
      <c r="A14" s="5" t="s">
        <v>160</v>
      </c>
      <c r="B14" s="5" t="s">
        <v>279</v>
      </c>
      <c r="C14" s="5" t="s">
        <v>279</v>
      </c>
      <c r="D14" s="5" t="s">
        <v>279</v>
      </c>
      <c r="E14" s="5" t="s">
        <v>279</v>
      </c>
      <c r="G14" s="5" t="s">
        <v>160</v>
      </c>
      <c r="H14" s="16" t="s">
        <v>279</v>
      </c>
      <c r="I14" s="5" t="s">
        <v>279</v>
      </c>
      <c r="J14" s="5" t="s">
        <v>279</v>
      </c>
      <c r="K14" s="5" t="s">
        <v>279</v>
      </c>
    </row>
    <row r="15" spans="1:11" x14ac:dyDescent="0.2">
      <c r="A15" s="5" t="s">
        <v>164</v>
      </c>
      <c r="B15" s="5" t="s">
        <v>283</v>
      </c>
      <c r="C15" s="5" t="s">
        <v>283</v>
      </c>
      <c r="D15" s="5" t="s">
        <v>283</v>
      </c>
      <c r="E15" s="5" t="s">
        <v>283</v>
      </c>
      <c r="G15" s="5" t="s">
        <v>164</v>
      </c>
      <c r="H15" s="16" t="s">
        <v>212</v>
      </c>
      <c r="I15" s="5" t="s">
        <v>122</v>
      </c>
      <c r="J15" s="5" t="s">
        <v>154</v>
      </c>
      <c r="K15" s="5" t="s">
        <v>154</v>
      </c>
    </row>
    <row r="16" spans="1:11" x14ac:dyDescent="0.2">
      <c r="A16" s="5" t="s">
        <v>167</v>
      </c>
      <c r="B16" s="5" t="s">
        <v>279</v>
      </c>
      <c r="C16" s="5" t="s">
        <v>279</v>
      </c>
      <c r="D16" s="5" t="s">
        <v>279</v>
      </c>
      <c r="E16" s="5" t="s">
        <v>279</v>
      </c>
      <c r="G16" s="5" t="s">
        <v>167</v>
      </c>
      <c r="H16" s="16" t="s">
        <v>279</v>
      </c>
      <c r="I16" s="5" t="s">
        <v>279</v>
      </c>
      <c r="J16" s="5" t="s">
        <v>279</v>
      </c>
      <c r="K16" s="5" t="s">
        <v>279</v>
      </c>
    </row>
    <row r="17" spans="1:11" x14ac:dyDescent="0.2">
      <c r="A17" s="5" t="s">
        <v>170</v>
      </c>
      <c r="B17" s="5" t="s">
        <v>279</v>
      </c>
      <c r="C17" s="5" t="s">
        <v>279</v>
      </c>
      <c r="D17" s="5" t="s">
        <v>279</v>
      </c>
      <c r="E17" s="5" t="s">
        <v>279</v>
      </c>
      <c r="G17" s="5" t="s">
        <v>170</v>
      </c>
      <c r="H17" s="16" t="s">
        <v>279</v>
      </c>
      <c r="I17" s="5" t="s">
        <v>279</v>
      </c>
      <c r="J17" s="5" t="s">
        <v>279</v>
      </c>
      <c r="K17" s="5" t="s">
        <v>279</v>
      </c>
    </row>
    <row r="18" spans="1:11" x14ac:dyDescent="0.2">
      <c r="A18" s="5" t="s">
        <v>173</v>
      </c>
      <c r="B18" s="5" t="s">
        <v>279</v>
      </c>
      <c r="C18" s="5" t="s">
        <v>279</v>
      </c>
      <c r="D18" s="5" t="s">
        <v>279</v>
      </c>
      <c r="E18" s="5" t="s">
        <v>279</v>
      </c>
      <c r="G18" s="5" t="s">
        <v>173</v>
      </c>
      <c r="H18" s="16" t="s">
        <v>279</v>
      </c>
      <c r="I18" s="5" t="s">
        <v>279</v>
      </c>
      <c r="J18" s="5" t="s">
        <v>279</v>
      </c>
      <c r="K18" s="5" t="s">
        <v>279</v>
      </c>
    </row>
    <row r="19" spans="1:11" x14ac:dyDescent="0.2">
      <c r="A19" s="5" t="s">
        <v>176</v>
      </c>
      <c r="B19" s="5" t="s">
        <v>279</v>
      </c>
      <c r="C19" s="5" t="s">
        <v>279</v>
      </c>
      <c r="D19" s="5" t="s">
        <v>279</v>
      </c>
      <c r="E19" s="5" t="s">
        <v>279</v>
      </c>
      <c r="G19" s="5" t="s">
        <v>176</v>
      </c>
      <c r="H19" s="16" t="s">
        <v>279</v>
      </c>
      <c r="I19" s="5" t="s">
        <v>279</v>
      </c>
      <c r="J19" s="5" t="s">
        <v>279</v>
      </c>
      <c r="K19" s="5" t="s">
        <v>279</v>
      </c>
    </row>
    <row r="20" spans="1:11" x14ac:dyDescent="0.2">
      <c r="A20" s="5" t="s">
        <v>179</v>
      </c>
      <c r="B20" s="5" t="s">
        <v>279</v>
      </c>
      <c r="C20" s="5" t="s">
        <v>279</v>
      </c>
      <c r="D20" s="5" t="s">
        <v>279</v>
      </c>
      <c r="E20" s="5" t="s">
        <v>279</v>
      </c>
      <c r="G20" s="5" t="s">
        <v>179</v>
      </c>
      <c r="H20" s="16" t="s">
        <v>279</v>
      </c>
      <c r="I20" s="5" t="s">
        <v>279</v>
      </c>
      <c r="J20" s="5" t="s">
        <v>279</v>
      </c>
      <c r="K20" s="5" t="s">
        <v>279</v>
      </c>
    </row>
    <row r="21" spans="1:11" x14ac:dyDescent="0.2">
      <c r="A21" s="5" t="s">
        <v>182</v>
      </c>
      <c r="B21" s="5" t="s">
        <v>279</v>
      </c>
      <c r="C21" s="5" t="s">
        <v>279</v>
      </c>
      <c r="D21" s="5" t="s">
        <v>279</v>
      </c>
      <c r="E21" s="5" t="s">
        <v>279</v>
      </c>
      <c r="G21" s="5" t="s">
        <v>182</v>
      </c>
      <c r="H21" s="16" t="s">
        <v>279</v>
      </c>
      <c r="I21" s="5" t="s">
        <v>279</v>
      </c>
      <c r="J21" s="5" t="s">
        <v>279</v>
      </c>
      <c r="K21" s="5" t="s">
        <v>279</v>
      </c>
    </row>
    <row r="22" spans="1:11" x14ac:dyDescent="0.2">
      <c r="A22" s="5" t="s">
        <v>185</v>
      </c>
      <c r="B22" s="5" t="s">
        <v>279</v>
      </c>
      <c r="C22" s="5" t="s">
        <v>279</v>
      </c>
      <c r="D22" s="5" t="s">
        <v>279</v>
      </c>
      <c r="E22" s="5" t="s">
        <v>279</v>
      </c>
      <c r="G22" s="5" t="s">
        <v>185</v>
      </c>
      <c r="H22" s="16" t="s">
        <v>279</v>
      </c>
      <c r="I22" s="5" t="s">
        <v>279</v>
      </c>
      <c r="J22" s="5" t="s">
        <v>279</v>
      </c>
      <c r="K22" s="5" t="s">
        <v>279</v>
      </c>
    </row>
    <row r="23" spans="1:11" x14ac:dyDescent="0.2">
      <c r="A23" s="5" t="s">
        <v>188</v>
      </c>
      <c r="B23" s="5" t="s">
        <v>279</v>
      </c>
      <c r="C23" s="5" t="s">
        <v>279</v>
      </c>
      <c r="D23" s="5" t="s">
        <v>279</v>
      </c>
      <c r="E23" s="5" t="s">
        <v>279</v>
      </c>
      <c r="G23" s="5" t="s">
        <v>188</v>
      </c>
      <c r="H23" s="16" t="s">
        <v>279</v>
      </c>
      <c r="I23" s="5" t="s">
        <v>279</v>
      </c>
      <c r="J23" s="5" t="s">
        <v>279</v>
      </c>
      <c r="K23" s="5" t="s">
        <v>279</v>
      </c>
    </row>
    <row r="24" spans="1:11" x14ac:dyDescent="0.2">
      <c r="A24" s="5" t="s">
        <v>191</v>
      </c>
      <c r="B24" s="5" t="s">
        <v>279</v>
      </c>
      <c r="C24" s="5" t="s">
        <v>279</v>
      </c>
      <c r="D24" s="5" t="s">
        <v>279</v>
      </c>
      <c r="E24" s="5" t="s">
        <v>279</v>
      </c>
      <c r="G24" s="5" t="s">
        <v>191</v>
      </c>
      <c r="H24" s="16" t="s">
        <v>279</v>
      </c>
      <c r="I24" s="5" t="s">
        <v>279</v>
      </c>
      <c r="J24" s="5" t="s">
        <v>279</v>
      </c>
      <c r="K24" s="5" t="s">
        <v>279</v>
      </c>
    </row>
    <row r="25" spans="1:11" x14ac:dyDescent="0.2">
      <c r="A25" s="5" t="s">
        <v>194</v>
      </c>
      <c r="B25" s="5" t="s">
        <v>279</v>
      </c>
      <c r="C25" s="5" t="s">
        <v>279</v>
      </c>
      <c r="D25" s="5" t="s">
        <v>279</v>
      </c>
      <c r="E25" s="5" t="s">
        <v>279</v>
      </c>
      <c r="G25" s="5" t="s">
        <v>194</v>
      </c>
      <c r="H25" s="16" t="s">
        <v>279</v>
      </c>
      <c r="I25" s="5" t="s">
        <v>279</v>
      </c>
      <c r="J25" s="5" t="s">
        <v>279</v>
      </c>
      <c r="K25" s="5" t="s">
        <v>279</v>
      </c>
    </row>
    <row r="26" spans="1:11" x14ac:dyDescent="0.2">
      <c r="A26" s="5" t="s">
        <v>197</v>
      </c>
      <c r="B26" s="5" t="s">
        <v>279</v>
      </c>
      <c r="C26" s="5" t="s">
        <v>279</v>
      </c>
      <c r="D26" s="5" t="s">
        <v>279</v>
      </c>
      <c r="E26" s="5" t="s">
        <v>283</v>
      </c>
      <c r="G26" s="5" t="s">
        <v>197</v>
      </c>
      <c r="H26" s="16" t="s">
        <v>279</v>
      </c>
      <c r="I26" s="5" t="s">
        <v>279</v>
      </c>
      <c r="J26" s="5" t="s">
        <v>279</v>
      </c>
      <c r="K26" s="5" t="s">
        <v>154</v>
      </c>
    </row>
    <row r="27" spans="1:11" x14ac:dyDescent="0.2">
      <c r="A27" s="5" t="s">
        <v>200</v>
      </c>
      <c r="B27" s="5" t="s">
        <v>279</v>
      </c>
      <c r="C27" s="5" t="s">
        <v>279</v>
      </c>
      <c r="D27" s="5" t="s">
        <v>279</v>
      </c>
      <c r="E27" s="5" t="s">
        <v>279</v>
      </c>
      <c r="G27" s="5" t="s">
        <v>200</v>
      </c>
      <c r="H27" s="16" t="s">
        <v>279</v>
      </c>
      <c r="I27" s="5" t="s">
        <v>279</v>
      </c>
      <c r="J27" s="5" t="s">
        <v>279</v>
      </c>
      <c r="K27" s="5" t="s">
        <v>279</v>
      </c>
    </row>
    <row r="28" spans="1:11" x14ac:dyDescent="0.2">
      <c r="A28" s="5" t="s">
        <v>203</v>
      </c>
      <c r="B28" s="5" t="s">
        <v>283</v>
      </c>
      <c r="C28" s="5" t="s">
        <v>283</v>
      </c>
      <c r="D28" s="5" t="s">
        <v>283</v>
      </c>
      <c r="E28" s="5" t="s">
        <v>283</v>
      </c>
      <c r="G28" s="5" t="s">
        <v>203</v>
      </c>
      <c r="H28" s="16" t="s">
        <v>212</v>
      </c>
      <c r="I28" s="5" t="s">
        <v>154</v>
      </c>
      <c r="J28" s="5" t="s">
        <v>154</v>
      </c>
      <c r="K28" s="5" t="s">
        <v>154</v>
      </c>
    </row>
    <row r="29" spans="1:11" x14ac:dyDescent="0.2">
      <c r="A29" s="5" t="s">
        <v>206</v>
      </c>
      <c r="B29" s="5" t="s">
        <v>283</v>
      </c>
      <c r="C29" s="5" t="s">
        <v>283</v>
      </c>
      <c r="D29" s="5" t="s">
        <v>283</v>
      </c>
      <c r="E29" s="5" t="s">
        <v>283</v>
      </c>
      <c r="G29" s="5" t="s">
        <v>206</v>
      </c>
      <c r="H29" s="16" t="s">
        <v>212</v>
      </c>
      <c r="I29" s="5" t="s">
        <v>122</v>
      </c>
      <c r="J29" s="5" t="s">
        <v>207</v>
      </c>
      <c r="K29" s="5" t="s">
        <v>207</v>
      </c>
    </row>
    <row r="30" spans="1:11" x14ac:dyDescent="0.2">
      <c r="A30" s="5" t="s">
        <v>211</v>
      </c>
      <c r="B30" s="5" t="s">
        <v>279</v>
      </c>
      <c r="C30" s="5" t="s">
        <v>279</v>
      </c>
      <c r="D30" s="5" t="s">
        <v>283</v>
      </c>
      <c r="E30" s="5" t="s">
        <v>283</v>
      </c>
      <c r="G30" s="5" t="s">
        <v>211</v>
      </c>
      <c r="H30" s="16" t="s">
        <v>279</v>
      </c>
      <c r="I30" s="5" t="s">
        <v>279</v>
      </c>
      <c r="J30" s="5" t="s">
        <v>212</v>
      </c>
      <c r="K30" s="5" t="s">
        <v>212</v>
      </c>
    </row>
    <row r="31" spans="1:11" x14ac:dyDescent="0.2">
      <c r="A31" s="5" t="s">
        <v>215</v>
      </c>
      <c r="B31" s="5" t="s">
        <v>279</v>
      </c>
      <c r="C31" s="5" t="s">
        <v>279</v>
      </c>
      <c r="D31" s="5" t="s">
        <v>279</v>
      </c>
      <c r="E31" s="5" t="s">
        <v>279</v>
      </c>
      <c r="G31" s="5" t="s">
        <v>215</v>
      </c>
      <c r="H31" s="16" t="s">
        <v>279</v>
      </c>
      <c r="I31" s="5" t="s">
        <v>279</v>
      </c>
      <c r="J31" s="5" t="s">
        <v>279</v>
      </c>
      <c r="K31" s="5" t="s">
        <v>279</v>
      </c>
    </row>
    <row r="32" spans="1:11" x14ac:dyDescent="0.2">
      <c r="A32" s="5" t="s">
        <v>218</v>
      </c>
      <c r="B32" s="5" t="s">
        <v>279</v>
      </c>
      <c r="C32" s="5" t="s">
        <v>279</v>
      </c>
      <c r="D32" s="5" t="s">
        <v>279</v>
      </c>
      <c r="E32" s="5" t="s">
        <v>279</v>
      </c>
      <c r="G32" s="5" t="s">
        <v>218</v>
      </c>
      <c r="H32" s="16" t="s">
        <v>279</v>
      </c>
      <c r="I32" s="5" t="s">
        <v>279</v>
      </c>
      <c r="J32" s="5" t="s">
        <v>279</v>
      </c>
      <c r="K32" s="5" t="s">
        <v>279</v>
      </c>
    </row>
    <row r="33" spans="1:11" x14ac:dyDescent="0.2">
      <c r="A33" s="5" t="s">
        <v>221</v>
      </c>
      <c r="B33" s="5" t="s">
        <v>279</v>
      </c>
      <c r="C33" s="5" t="s">
        <v>283</v>
      </c>
      <c r="D33" s="5" t="s">
        <v>279</v>
      </c>
      <c r="E33" s="5" t="s">
        <v>279</v>
      </c>
      <c r="G33" s="5" t="s">
        <v>221</v>
      </c>
      <c r="H33" s="16" t="s">
        <v>279</v>
      </c>
      <c r="I33" s="5" t="s">
        <v>154</v>
      </c>
      <c r="J33" s="5" t="s">
        <v>279</v>
      </c>
      <c r="K33" s="5" t="s">
        <v>279</v>
      </c>
    </row>
    <row r="34" spans="1:11" x14ac:dyDescent="0.2">
      <c r="A34" s="5" t="s">
        <v>224</v>
      </c>
      <c r="B34" s="5" t="s">
        <v>283</v>
      </c>
      <c r="C34" s="5" t="s">
        <v>283</v>
      </c>
      <c r="D34" s="5" t="s">
        <v>283</v>
      </c>
      <c r="E34" s="5" t="s">
        <v>283</v>
      </c>
      <c r="G34" s="5" t="s">
        <v>224</v>
      </c>
      <c r="H34" s="16" t="s">
        <v>212</v>
      </c>
      <c r="I34" s="5" t="s">
        <v>154</v>
      </c>
      <c r="J34" s="5" t="s">
        <v>154</v>
      </c>
      <c r="K34" s="5" t="s">
        <v>154</v>
      </c>
    </row>
    <row r="35" spans="1:11" x14ac:dyDescent="0.2">
      <c r="A35" s="5" t="s">
        <v>227</v>
      </c>
      <c r="B35" s="5" t="s">
        <v>279</v>
      </c>
      <c r="C35" s="5" t="s">
        <v>279</v>
      </c>
      <c r="D35" s="5" t="s">
        <v>279</v>
      </c>
      <c r="E35" s="5" t="s">
        <v>279</v>
      </c>
      <c r="G35" s="5" t="s">
        <v>227</v>
      </c>
      <c r="H35" s="16" t="s">
        <v>279</v>
      </c>
      <c r="I35" s="5" t="s">
        <v>279</v>
      </c>
      <c r="J35" s="5" t="s">
        <v>279</v>
      </c>
      <c r="K35" s="5" t="s">
        <v>279</v>
      </c>
    </row>
    <row r="36" spans="1:11" x14ac:dyDescent="0.2">
      <c r="A36" s="5" t="s">
        <v>230</v>
      </c>
      <c r="B36" s="5" t="s">
        <v>279</v>
      </c>
      <c r="C36" s="5" t="s">
        <v>279</v>
      </c>
      <c r="D36" s="5" t="s">
        <v>279</v>
      </c>
      <c r="E36" s="5" t="s">
        <v>279</v>
      </c>
      <c r="G36" s="5" t="s">
        <v>230</v>
      </c>
      <c r="H36" s="16" t="s">
        <v>279</v>
      </c>
      <c r="I36" s="5" t="s">
        <v>279</v>
      </c>
      <c r="J36" s="5" t="s">
        <v>279</v>
      </c>
      <c r="K36" s="5" t="s">
        <v>279</v>
      </c>
    </row>
    <row r="37" spans="1:11" x14ac:dyDescent="0.2">
      <c r="A37" s="5" t="s">
        <v>233</v>
      </c>
      <c r="B37" s="5" t="s">
        <v>279</v>
      </c>
      <c r="C37" s="5" t="s">
        <v>279</v>
      </c>
      <c r="D37" s="5" t="s">
        <v>279</v>
      </c>
      <c r="E37" s="5" t="s">
        <v>279</v>
      </c>
      <c r="G37" s="5" t="s">
        <v>233</v>
      </c>
      <c r="H37" s="16" t="s">
        <v>279</v>
      </c>
      <c r="I37" s="5" t="s">
        <v>279</v>
      </c>
      <c r="J37" s="5" t="s">
        <v>279</v>
      </c>
      <c r="K37" s="5" t="s">
        <v>279</v>
      </c>
    </row>
    <row r="38" spans="1:11" x14ac:dyDescent="0.2">
      <c r="A38" s="5" t="s">
        <v>236</v>
      </c>
      <c r="B38" s="5" t="s">
        <v>279</v>
      </c>
      <c r="C38" s="5" t="s">
        <v>279</v>
      </c>
      <c r="D38" s="5" t="s">
        <v>279</v>
      </c>
      <c r="E38" s="5" t="s">
        <v>279</v>
      </c>
      <c r="G38" s="5" t="s">
        <v>236</v>
      </c>
      <c r="H38" s="16" t="s">
        <v>279</v>
      </c>
      <c r="I38" s="5" t="s">
        <v>279</v>
      </c>
      <c r="J38" s="5" t="s">
        <v>279</v>
      </c>
      <c r="K38" s="5" t="s">
        <v>279</v>
      </c>
    </row>
    <row r="39" spans="1:11" x14ac:dyDescent="0.2">
      <c r="A39" s="5" t="s">
        <v>239</v>
      </c>
      <c r="B39" s="5" t="s">
        <v>283</v>
      </c>
      <c r="C39" s="5" t="s">
        <v>279</v>
      </c>
      <c r="D39" s="5" t="s">
        <v>283</v>
      </c>
      <c r="E39" s="5" t="s">
        <v>283</v>
      </c>
      <c r="G39" s="5" t="s">
        <v>239</v>
      </c>
      <c r="H39" s="16" t="s">
        <v>212</v>
      </c>
      <c r="I39" s="5" t="s">
        <v>279</v>
      </c>
      <c r="J39" s="5" t="s">
        <v>212</v>
      </c>
      <c r="K39" s="5" t="s">
        <v>212</v>
      </c>
    </row>
    <row r="40" spans="1:11" x14ac:dyDescent="0.2">
      <c r="A40" s="5" t="s">
        <v>242</v>
      </c>
      <c r="B40" s="5" t="s">
        <v>279</v>
      </c>
      <c r="C40" s="5" t="s">
        <v>279</v>
      </c>
      <c r="D40" s="5" t="s">
        <v>279</v>
      </c>
      <c r="E40" s="5" t="s">
        <v>279</v>
      </c>
      <c r="G40" s="5" t="s">
        <v>242</v>
      </c>
      <c r="H40" s="16" t="s">
        <v>279</v>
      </c>
      <c r="I40" s="5" t="s">
        <v>279</v>
      </c>
      <c r="J40" s="5" t="s">
        <v>279</v>
      </c>
      <c r="K40" s="5" t="s">
        <v>279</v>
      </c>
    </row>
    <row r="41" spans="1:11" x14ac:dyDescent="0.2">
      <c r="A41" s="5" t="s">
        <v>245</v>
      </c>
      <c r="B41" s="5" t="s">
        <v>279</v>
      </c>
      <c r="C41" s="5" t="s">
        <v>279</v>
      </c>
      <c r="D41" s="5" t="s">
        <v>279</v>
      </c>
      <c r="E41" s="5" t="s">
        <v>279</v>
      </c>
      <c r="G41" s="5" t="s">
        <v>245</v>
      </c>
      <c r="H41" s="16" t="s">
        <v>279</v>
      </c>
      <c r="I41" s="5" t="s">
        <v>279</v>
      </c>
      <c r="J41" s="5" t="s">
        <v>279</v>
      </c>
      <c r="K41" s="5" t="s">
        <v>279</v>
      </c>
    </row>
    <row r="42" spans="1:11" x14ac:dyDescent="0.2">
      <c r="A42" s="5" t="s">
        <v>248</v>
      </c>
      <c r="B42" s="5" t="s">
        <v>279</v>
      </c>
      <c r="C42" s="5" t="s">
        <v>279</v>
      </c>
      <c r="D42" s="5" t="s">
        <v>279</v>
      </c>
      <c r="E42" s="5" t="s">
        <v>279</v>
      </c>
      <c r="G42" s="5" t="s">
        <v>248</v>
      </c>
      <c r="H42" s="16" t="s">
        <v>279</v>
      </c>
      <c r="I42" s="5" t="s">
        <v>279</v>
      </c>
      <c r="J42" s="5" t="s">
        <v>279</v>
      </c>
      <c r="K42" s="5" t="s">
        <v>279</v>
      </c>
    </row>
    <row r="43" spans="1:11" x14ac:dyDescent="0.2">
      <c r="A43" s="5" t="s">
        <v>251</v>
      </c>
      <c r="B43" s="5" t="s">
        <v>279</v>
      </c>
      <c r="C43" s="5" t="s">
        <v>279</v>
      </c>
      <c r="D43" s="5" t="s">
        <v>279</v>
      </c>
      <c r="E43" s="5" t="s">
        <v>279</v>
      </c>
      <c r="G43" s="5" t="s">
        <v>251</v>
      </c>
      <c r="H43" s="16" t="s">
        <v>279</v>
      </c>
      <c r="I43" s="5" t="s">
        <v>279</v>
      </c>
      <c r="J43" s="5" t="s">
        <v>279</v>
      </c>
      <c r="K43" s="5" t="s">
        <v>279</v>
      </c>
    </row>
    <row r="44" spans="1:11" x14ac:dyDescent="0.2">
      <c r="A44" s="5" t="s">
        <v>254</v>
      </c>
      <c r="B44" s="5" t="s">
        <v>279</v>
      </c>
      <c r="C44" s="5" t="s">
        <v>279</v>
      </c>
      <c r="D44" s="5" t="s">
        <v>279</v>
      </c>
      <c r="E44" s="5" t="s">
        <v>279</v>
      </c>
      <c r="G44" s="5" t="s">
        <v>254</v>
      </c>
      <c r="H44" s="16" t="s">
        <v>279</v>
      </c>
      <c r="I44" s="5" t="s">
        <v>279</v>
      </c>
      <c r="J44" s="5" t="s">
        <v>279</v>
      </c>
      <c r="K44" s="5" t="s">
        <v>279</v>
      </c>
    </row>
    <row r="45" spans="1:11" x14ac:dyDescent="0.2">
      <c r="A45" s="5" t="s">
        <v>257</v>
      </c>
      <c r="B45" s="5" t="s">
        <v>283</v>
      </c>
      <c r="C45" s="5" t="s">
        <v>283</v>
      </c>
      <c r="D45" s="5" t="s">
        <v>283</v>
      </c>
      <c r="E45" s="5" t="s">
        <v>283</v>
      </c>
      <c r="G45" s="5" t="s">
        <v>257</v>
      </c>
      <c r="H45" s="16" t="s">
        <v>212</v>
      </c>
      <c r="I45" s="5" t="s">
        <v>154</v>
      </c>
      <c r="J45" s="5" t="s">
        <v>154</v>
      </c>
      <c r="K45" s="5" t="s">
        <v>154</v>
      </c>
    </row>
    <row r="46" spans="1:11" x14ac:dyDescent="0.2">
      <c r="A46" s="5" t="s">
        <v>260</v>
      </c>
      <c r="B46" s="5" t="s">
        <v>279</v>
      </c>
      <c r="C46" s="5" t="s">
        <v>279</v>
      </c>
      <c r="D46" s="5" t="s">
        <v>279</v>
      </c>
      <c r="E46" s="5" t="s">
        <v>279</v>
      </c>
      <c r="G46" s="5" t="s">
        <v>260</v>
      </c>
      <c r="H46" s="16" t="s">
        <v>279</v>
      </c>
      <c r="I46" s="5" t="s">
        <v>279</v>
      </c>
      <c r="J46" s="5" t="s">
        <v>279</v>
      </c>
      <c r="K46" s="5" t="s">
        <v>279</v>
      </c>
    </row>
    <row r="47" spans="1:11" x14ac:dyDescent="0.2">
      <c r="A47" s="5" t="s">
        <v>263</v>
      </c>
      <c r="B47" s="5" t="s">
        <v>283</v>
      </c>
      <c r="C47" s="5" t="s">
        <v>283</v>
      </c>
      <c r="D47" s="5" t="s">
        <v>283</v>
      </c>
      <c r="E47" s="5" t="s">
        <v>283</v>
      </c>
      <c r="G47" s="5" t="s">
        <v>263</v>
      </c>
      <c r="H47" s="16" t="s">
        <v>212</v>
      </c>
      <c r="I47" s="5" t="s">
        <v>154</v>
      </c>
      <c r="J47" s="5" t="s">
        <v>154</v>
      </c>
      <c r="K47" s="5" t="s">
        <v>154</v>
      </c>
    </row>
    <row r="48" spans="1:11" x14ac:dyDescent="0.2">
      <c r="A48" s="5" t="s">
        <v>266</v>
      </c>
      <c r="B48" s="5" t="s">
        <v>279</v>
      </c>
      <c r="C48" s="5" t="s">
        <v>279</v>
      </c>
      <c r="D48" s="5" t="s">
        <v>279</v>
      </c>
      <c r="E48" s="5" t="s">
        <v>279</v>
      </c>
      <c r="G48" s="5" t="s">
        <v>266</v>
      </c>
      <c r="H48" s="16" t="s">
        <v>279</v>
      </c>
      <c r="I48" s="5" t="s">
        <v>279</v>
      </c>
      <c r="J48" s="5" t="s">
        <v>279</v>
      </c>
      <c r="K48" s="5" t="s">
        <v>279</v>
      </c>
    </row>
    <row r="49" spans="1:11" x14ac:dyDescent="0.2">
      <c r="A49" s="5" t="s">
        <v>268</v>
      </c>
      <c r="B49" s="5" t="s">
        <v>279</v>
      </c>
      <c r="C49" s="5" t="s">
        <v>279</v>
      </c>
      <c r="D49" s="5" t="s">
        <v>279</v>
      </c>
      <c r="E49" s="5" t="s">
        <v>279</v>
      </c>
      <c r="G49" s="5" t="s">
        <v>268</v>
      </c>
      <c r="H49" s="16" t="s">
        <v>279</v>
      </c>
      <c r="I49" s="5" t="s">
        <v>279</v>
      </c>
      <c r="J49" s="5" t="s">
        <v>279</v>
      </c>
      <c r="K49" s="5" t="s">
        <v>279</v>
      </c>
    </row>
    <row r="50" spans="1:11" x14ac:dyDescent="0.2">
      <c r="A50" s="5" t="s">
        <v>271</v>
      </c>
      <c r="B50" s="5" t="s">
        <v>279</v>
      </c>
      <c r="C50" s="5" t="s">
        <v>279</v>
      </c>
      <c r="D50" s="5" t="s">
        <v>279</v>
      </c>
      <c r="E50" s="5" t="s">
        <v>279</v>
      </c>
      <c r="G50" s="5" t="s">
        <v>271</v>
      </c>
      <c r="H50" s="16" t="s">
        <v>279</v>
      </c>
      <c r="I50" s="5" t="s">
        <v>279</v>
      </c>
      <c r="J50" s="5" t="s">
        <v>279</v>
      </c>
      <c r="K50" s="5" t="s">
        <v>279</v>
      </c>
    </row>
  </sheetData>
  <mergeCells count="2">
    <mergeCell ref="B9:E9"/>
    <mergeCell ref="H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S9</vt:lpstr>
      <vt:lpstr>Table S10</vt:lpstr>
      <vt:lpstr>Table S11</vt:lpstr>
      <vt:lpstr>Table S12</vt:lpstr>
      <vt:lpstr>Table S13</vt:lpstr>
      <vt:lpstr>Table 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Cosic, Amar (amar.cosic@uni-graz.at)</dc:creator>
  <cp:lastModifiedBy>Kienesberger, Sabine</cp:lastModifiedBy>
  <dcterms:created xsi:type="dcterms:W3CDTF">2024-10-22T08:33:30Z</dcterms:created>
  <dcterms:modified xsi:type="dcterms:W3CDTF">2025-08-11T13:59:13Z</dcterms:modified>
</cp:coreProperties>
</file>